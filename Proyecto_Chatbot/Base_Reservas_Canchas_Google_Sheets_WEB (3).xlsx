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ervas" sheetId="1" r:id="rId5"/>
    <sheet state="visible" name="Canchas" sheetId="2" r:id="rId6"/>
    <sheet state="visible" name="FAQ" sheetId="3" r:id="rId7"/>
    <sheet state="visible" name="Diccionario_PLN" sheetId="4" r:id="rId8"/>
    <sheet state="visible" name="Resumen" sheetId="5" r:id="rId9"/>
  </sheets>
  <definedNames/>
  <calcPr/>
</workbook>
</file>

<file path=xl/sharedStrings.xml><?xml version="1.0" encoding="utf-8"?>
<sst xmlns="http://schemas.openxmlformats.org/spreadsheetml/2006/main" count="348" uniqueCount="202">
  <si>
    <t>reservation_id</t>
  </si>
  <si>
    <t>session_id</t>
  </si>
  <si>
    <t>customer_name</t>
  </si>
  <si>
    <t>phone</t>
  </si>
  <si>
    <t>channel</t>
  </si>
  <si>
    <t>user_message</t>
  </si>
  <si>
    <t>intent</t>
  </si>
  <si>
    <t>field_type</t>
  </si>
  <si>
    <t>date</t>
  </si>
  <si>
    <t>time</t>
  </si>
  <si>
    <t>duration_minutes</t>
  </si>
  <si>
    <t>status</t>
  </si>
  <si>
    <t>price_cop</t>
  </si>
  <si>
    <t>created_at</t>
  </si>
  <si>
    <t>notes</t>
  </si>
  <si>
    <t>R-0001</t>
  </si>
  <si>
    <t>cliente-001</t>
  </si>
  <si>
    <t>Andrés López</t>
  </si>
  <si>
    <t>3001112233</t>
  </si>
  <si>
    <t>web</t>
  </si>
  <si>
    <t>Quiero reservar fútbol 5 mañana a las 7 pm</t>
  </si>
  <si>
    <t>agendar_cancha</t>
  </si>
  <si>
    <t>futbol_5</t>
  </si>
  <si>
    <t>19:00</t>
  </si>
  <si>
    <t>confirmada</t>
  </si>
  <si>
    <t>Reserva de prueba</t>
  </si>
  <si>
    <t>R-0002</t>
  </si>
  <si>
    <t>cliente-002</t>
  </si>
  <si>
    <t>María Gómez</t>
  </si>
  <si>
    <t>3012223344</t>
  </si>
  <si>
    <t>¿Tienen la cancha grande libre el viernes a las 8?</t>
  </si>
  <si>
    <t>consultar_disponibilidad</t>
  </si>
  <si>
    <t>futbol_8</t>
  </si>
  <si>
    <t>20:00</t>
  </si>
  <si>
    <t>Pendiente de confirmación</t>
  </si>
  <si>
    <t>R-0003</t>
  </si>
  <si>
    <t>cliente-003</t>
  </si>
  <si>
    <t>Carlos Pérez</t>
  </si>
  <si>
    <t>3023334455</t>
  </si>
  <si>
    <t>Cancélame el partido de las 9</t>
  </si>
  <si>
    <t>cancelar_reserva</t>
  </si>
  <si>
    <t>21:00</t>
  </si>
  <si>
    <t>cancelada</t>
  </si>
  <si>
    <t>Cancelación de prueba</t>
  </si>
  <si>
    <t>R-0004</t>
  </si>
  <si>
    <t>cliente-004</t>
  </si>
  <si>
    <t>Laura Ríos</t>
  </si>
  <si>
    <t>3034445566</t>
  </si>
  <si>
    <t>Necesito cancha pequeña dos horas hoy a las 6 pm</t>
  </si>
  <si>
    <t>18:00</t>
  </si>
  <si>
    <t>Datos inventados</t>
  </si>
  <si>
    <t>R-0005</t>
  </si>
  <si>
    <t>cliente-005</t>
  </si>
  <si>
    <t>Juan Martínez</t>
  </si>
  <si>
    <t>3045556677</t>
  </si>
  <si>
    <t>¿Cuánto cuesta la hora?</t>
  </si>
  <si>
    <t>preguntas_frecuentes</t>
  </si>
  <si>
    <t>FAQ</t>
  </si>
  <si>
    <t>R-20260611205307</t>
  </si>
  <si>
    <t>cliente-web-001</t>
  </si>
  <si>
    <t xml:space="preserve"> </t>
  </si>
  <si>
    <t>Hola, quiero reservar una cancha de fútbol 5 mañana a las 7 pm</t>
  </si>
  <si>
    <t>{{ $json.field_type }}</t>
  </si>
  <si>
    <t>2026-06-11T20:53:07.874Z</t>
  </si>
  <si>
    <t>Perfecto. Voy a registrar tu solicitud de reserva para fútbol 5 mañana a las 7 pm.</t>
  </si>
  <si>
    <t>R-20260611205519</t>
  </si>
  <si>
    <t>Hola, quiero reservar una cancha de fútbol 8 mañana a las 10 pm</t>
  </si>
  <si>
    <t>2026-06-11T20:55:19.214Z</t>
  </si>
  <si>
    <t>Perfecto. Voy a registrar tu solicitud de reserva para fútbol 8 mañana a las 10 pm.</t>
  </si>
  <si>
    <t>R-20260611210406</t>
  </si>
  <si>
    <t>2026-06-11T21:04:06.706Z</t>
  </si>
  <si>
    <t>Perfecto. Registré tu solicitud de reserva para futbol_8, el 2026-06-12 a las 22:00, por 60 minutos. Valor estimado: $140.000 COP.</t>
  </si>
  <si>
    <t>R-20260611213805</t>
  </si>
  <si>
    <t>Hola, soy Juan Pérez, mi celular es 3001234567 y quiero reservar una cancha de fútbol 8 mañana a las 10 pm</t>
  </si>
  <si>
    <t>2026-06-11T21:38:05.687Z</t>
  </si>
  <si>
    <t>Reserva confirmada</t>
  </si>
  <si>
    <t>R-20260611213910</t>
  </si>
  <si>
    <t>Hola, soy Laura Gómez, mi celular es 3105558899 y quiero reservar una cancha de fútbol 8 mañana a las 10 pm</t>
  </si>
  <si>
    <t>2026-06-11T21:39:10.302Z</t>
  </si>
  <si>
    <t>R-20260611214151</t>
  </si>
  <si>
    <t>2026-06-11T21:41:51.227Z</t>
  </si>
  <si>
    <t>R-20260611214213</t>
  </si>
  <si>
    <t>2026-06-11T21:42:13.636Z</t>
  </si>
  <si>
    <t>R-20260611214345</t>
  </si>
  <si>
    <t>2026-06-11T21:43:45.986Z</t>
  </si>
  <si>
    <t>R-20260611214456</t>
  </si>
  <si>
    <t>2026-06-11T21:44:56.634Z</t>
  </si>
  <si>
    <t>R-20260611214900</t>
  </si>
  <si>
    <t>Hola, soy esteban, mi numero es 283783 quiero reservar la cancha de futbol 11 a las 11pm</t>
  </si>
  <si>
    <t>futbol_11</t>
  </si>
  <si>
    <t>2026-06-11T21:49:00.729Z</t>
  </si>
  <si>
    <t>R-20260612172831722-839</t>
  </si>
  <si>
    <t>Juan Pérez</t>
  </si>
  <si>
    <t>2026-06-12T17:28:31.722Z</t>
  </si>
  <si>
    <t>Cancelación exitosa. La reserva R-20260612172831722-839 quedó cancelada.</t>
  </si>
  <si>
    <t>R-20260613173420279-951</t>
  </si>
  <si>
    <t>Esteban</t>
  </si>
  <si>
    <t>Hola soy Esteban quiero reservar la cnahca de futbol 8 para hoy a las 1:00 pm, este es mi nuero 3102308123</t>
  </si>
  <si>
    <t>2026-06-13T17:34:20.279Z</t>
  </si>
  <si>
    <t>R-20260613181324918-016</t>
  </si>
  <si>
    <t>Juan Diego</t>
  </si>
  <si>
    <t>Hola, soy Juan Diego, mi celular es 3001234567 y quiero reservar fútbol 8 hoy a las 10 pm</t>
  </si>
  <si>
    <t>2026-06-13T18:13:24.918Z</t>
  </si>
  <si>
    <t>Cancelación exitosa. La reserva R-20260613181324918-016 quedó cancelada.</t>
  </si>
  <si>
    <t>R-20260613210717446-459</t>
  </si>
  <si>
    <t>Nicho</t>
  </si>
  <si>
    <t>Hola soy Nicho, mi numero es 3123456789 y me gustaria reservar la cancha pequeña para mañana a las 7:00</t>
  </si>
  <si>
    <t>2026-06-13T21:07:17.446Z</t>
  </si>
  <si>
    <t>R-20260613221409613-409</t>
  </si>
  <si>
    <t>Nicolas</t>
  </si>
  <si>
    <t>me gustaria reservar la cancha de futbol 8 para hoy a las 9:00 pm. Soy Nicolas y este es mi numero 3102308643</t>
  </si>
  <si>
    <t>2026-06-13T22:14:09.613Z</t>
  </si>
  <si>
    <t>R-20260614191901808-205</t>
  </si>
  <si>
    <t>Pablito</t>
  </si>
  <si>
    <t>Soy Pablito y mi numero es 3102304455</t>
  </si>
  <si>
    <t>2026-06-14T19:19:01.808Z</t>
  </si>
  <si>
    <t>Cancelación exitosa. La reserva R-20260614191901808-205 quedó cancelada.</t>
  </si>
  <si>
    <t>R-20260614193618851-979</t>
  </si>
  <si>
    <t>Estebi</t>
  </si>
  <si>
    <t xml:space="preserve">soy estebi y este es mi numero 3102305566 me gustaria reservar la cancha grande para hoy a las 9:00 pm </t>
  </si>
  <si>
    <t>2026-06-14T19:36:18.851Z</t>
  </si>
  <si>
    <t>R-20260614193636635-925</t>
  </si>
  <si>
    <t>cliente-web-002</t>
  </si>
  <si>
    <t>Juan</t>
  </si>
  <si>
    <t>mi numoer de celular es 31541473i231</t>
  </si>
  <si>
    <t>2026-06-14T19:36:36.635Z</t>
  </si>
  <si>
    <t>R-20260614194044155-246</t>
  </si>
  <si>
    <t>Hola, soy Juan Pérez, mi celular es 3001234567 y quiero reservar fútbol 8 mañana a las 10 pm.</t>
  </si>
  <si>
    <t>2026-06-14T19:40:44.155Z</t>
  </si>
  <si>
    <t>display_name</t>
  </si>
  <si>
    <t>capacity_players</t>
  </si>
  <si>
    <t>price_per_hour_cop</t>
  </si>
  <si>
    <t>opening_time</t>
  </si>
  <si>
    <t>closing_time</t>
  </si>
  <si>
    <t>active</t>
  </si>
  <si>
    <t>Cancha Fútbol 5</t>
  </si>
  <si>
    <t>08:00</t>
  </si>
  <si>
    <t>23:00</t>
  </si>
  <si>
    <t>sí</t>
  </si>
  <si>
    <t>También se reconoce como pequeña o sintética</t>
  </si>
  <si>
    <t>Cancha Fútbol 8</t>
  </si>
  <si>
    <t>También se reconoce como grande</t>
  </si>
  <si>
    <t>topic</t>
  </si>
  <si>
    <t>question_example</t>
  </si>
  <si>
    <t>answer</t>
  </si>
  <si>
    <t>precio</t>
  </si>
  <si>
    <t>¿Cuánto vale la hora?</t>
  </si>
  <si>
    <t>La cancha de fútbol 5 cuesta $90.000 por hora y la de fútbol 8 cuesta $140.000 por hora.</t>
  </si>
  <si>
    <t>implementos</t>
  </si>
  <si>
    <t>¿Prestan petos y balón?</t>
  </si>
  <si>
    <t>Sí, se presta balón y petos con la reserva, sujetos a disponibilidad.</t>
  </si>
  <si>
    <t>parqueadero</t>
  </si>
  <si>
    <t>¿Hay parqueadero?</t>
  </si>
  <si>
    <t>Sí, contamos con zona de parqueadero para clientes.</t>
  </si>
  <si>
    <t>horario</t>
  </si>
  <si>
    <t>¿Hasta qué hora atienden?</t>
  </si>
  <si>
    <t>Atendemos todos los días de 8:00 a. m. a 11:00 p. m.</t>
  </si>
  <si>
    <t>ubicacion</t>
  </si>
  <si>
    <t>¿Dónde quedan?</t>
  </si>
  <si>
    <t>La dirección se puede configurar según la cancha real del proyecto.</t>
  </si>
  <si>
    <t>tipo</t>
  </si>
  <si>
    <t>nombre</t>
  </si>
  <si>
    <t>ejemplos</t>
  </si>
  <si>
    <t>descripcion</t>
  </si>
  <si>
    <t>quiero reservar; aparta una cancha; necesito cancha</t>
  </si>
  <si>
    <t>El usuario quiere crear una reserva.</t>
  </si>
  <si>
    <t>hay cupo; está libre; qué horarios tienen</t>
  </si>
  <si>
    <t>El usuario quiere consultar disponibilidad.</t>
  </si>
  <si>
    <t>cancela; no puedo ir; borra la reserva</t>
  </si>
  <si>
    <t>El usuario quiere cancelar una reserva.</t>
  </si>
  <si>
    <t>precio; parqueadero; petos; balón</t>
  </si>
  <si>
    <t>El usuario hace una pregunta informativa.</t>
  </si>
  <si>
    <t>entity</t>
  </si>
  <si>
    <t>hoy; mañana; viernes; 24 de octubre</t>
  </si>
  <si>
    <t>Fecha de la reserva.</t>
  </si>
  <si>
    <t>7 pm; 19:00; ocho de la noche</t>
  </si>
  <si>
    <t>Hora de inicio de la reserva.</t>
  </si>
  <si>
    <t>fútbol 5; fútbol 8; pequeña; grande</t>
  </si>
  <si>
    <t>Tipo de cancha solicitada.</t>
  </si>
  <si>
    <t>duration</t>
  </si>
  <si>
    <t>una hora; dos horas; 90 minutos</t>
  </si>
  <si>
    <t>Duración de la reserva.</t>
  </si>
  <si>
    <t>Base de datos inicial - Bot de reservas de canchas</t>
  </si>
  <si>
    <t>Indicador</t>
  </si>
  <si>
    <t>Valor</t>
  </si>
  <si>
    <t>Uso sugerido en n8n</t>
  </si>
  <si>
    <t>Configuración</t>
  </si>
  <si>
    <t>Total registros</t>
  </si>
  <si>
    <t>Nodo</t>
  </si>
  <si>
    <t>Google Sheets</t>
  </si>
  <si>
    <t>Confirmadas</t>
  </si>
  <si>
    <t>Operación</t>
  </si>
  <si>
    <t>Append row in sheet</t>
  </si>
  <si>
    <t>Pendientes</t>
  </si>
  <si>
    <t>Documento</t>
  </si>
  <si>
    <t>Subir este archivo a Google Drive y abrirlo con Google Sheets</t>
  </si>
  <si>
    <t>Canceladas</t>
  </si>
  <si>
    <t>Hoja principal</t>
  </si>
  <si>
    <t>Reservas</t>
  </si>
  <si>
    <t>Solo consulta</t>
  </si>
  <si>
    <t>Ingresos confirmados</t>
  </si>
  <si>
    <t>Canal habilitado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</si>
</sst>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$#,##0"/>
    <numFmt numFmtId="166" formatCode="yyyy-mm-dd hh:mm"/>
  </numFmts>
  <fonts count="6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color theme="1"/>
      <name val="Carlito"/>
      <scheme val="minor"/>
    </font>
    <font>
      <b/>
      <sz val="14.0"/>
      <color rgb="FFFFFFFF"/>
      <name val="Carlito"/>
    </font>
    <font>
      <b/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shrinkToFit="0" wrapText="1"/>
    </xf>
    <xf borderId="0" fillId="0" fontId="2" numFmtId="165" xfId="0" applyAlignment="1" applyFont="1" applyNumberFormat="1">
      <alignment shrinkToFit="0" wrapText="1"/>
    </xf>
    <xf borderId="0" fillId="0" fontId="2" numFmtId="166" xfId="0" applyAlignment="1" applyFont="1" applyNumberForma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2" numFmtId="20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165" xfId="0" applyAlignment="1" applyFont="1" applyNumberFormat="1">
      <alignment readingOrder="0" shrinkToFit="0" wrapText="1"/>
    </xf>
    <xf borderId="0" fillId="0" fontId="3" numFmtId="0" xfId="0" applyFont="1"/>
    <xf borderId="0" fillId="0" fontId="2" numFmtId="0" xfId="0" applyAlignment="1" applyFont="1">
      <alignment shrinkToFit="0" wrapText="1"/>
    </xf>
    <xf borderId="0" fillId="2" fontId="4" numFmtId="0" xfId="0" applyAlignment="1" applyFont="1">
      <alignment horizontal="center" shrinkToFit="0" wrapText="1"/>
    </xf>
    <xf borderId="0" fillId="2" fontId="1" numFmtId="0" xfId="0" applyAlignment="1" applyFont="1">
      <alignment horizontal="center" shrinkToFit="0" vertical="center" wrapText="1"/>
    </xf>
    <xf borderId="0" fillId="0" fontId="2" numFmtId="165" xfId="0" applyAlignment="1" applyFont="1" applyNumberFormat="1">
      <alignment shrinkToFit="0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4">
    <tableStyle count="3" pivot="0" name="Reservas-style">
      <tableStyleElement dxfId="1" type="headerRow"/>
      <tableStyleElement dxfId="2" type="firstRowStripe"/>
      <tableStyleElement dxfId="3" type="secondRowStripe"/>
    </tableStyle>
    <tableStyle count="3" pivot="0" name="Canchas-style">
      <tableStyleElement dxfId="1" type="headerRow"/>
      <tableStyleElement dxfId="2" type="firstRowStripe"/>
      <tableStyleElement dxfId="3" type="secondRowStripe"/>
    </tableStyle>
    <tableStyle count="3" pivot="0" name="FAQ-style">
      <tableStyleElement dxfId="1" type="headerRow"/>
      <tableStyleElement dxfId="2" type="firstRowStripe"/>
      <tableStyleElement dxfId="3" type="secondRowStripe"/>
    </tableStyle>
    <tableStyle count="3" pivot="0" name="Diccionario_PL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220" displayName="Table_1" name="Table_1" id="1">
  <tableColumns count="15">
    <tableColumn name="reservation_id" id="1"/>
    <tableColumn name="session_id" id="2"/>
    <tableColumn name="customer_name" id="3"/>
    <tableColumn name="phone" id="4"/>
    <tableColumn name="channel" id="5"/>
    <tableColumn name="user_message" id="6"/>
    <tableColumn name="intent" id="7"/>
    <tableColumn name="field_type" id="8"/>
    <tableColumn name="date" id="9"/>
    <tableColumn name="time" id="10"/>
    <tableColumn name="duration_minutes" id="11"/>
    <tableColumn name="status" id="12"/>
    <tableColumn name="price_cop" id="13"/>
    <tableColumn name="created_at" id="14"/>
    <tableColumn name="notes" id="15"/>
  </tableColumns>
  <tableStyleInfo name="Reservas-style" showColumnStripes="0" showFirstColumn="1" showLastColumn="1" showRowStripes="1"/>
</table>
</file>

<file path=xl/tables/table2.xml><?xml version="1.0" encoding="utf-8"?>
<table xmlns="http://schemas.openxmlformats.org/spreadsheetml/2006/main" ref="A1:H3" displayName="Table_2" name="Table_2" id="2">
  <tableColumns count="8">
    <tableColumn name="field_type" id="1"/>
    <tableColumn name="display_name" id="2"/>
    <tableColumn name="capacity_players" id="3"/>
    <tableColumn name="price_per_hour_cop" id="4"/>
    <tableColumn name="opening_time" id="5"/>
    <tableColumn name="closing_time" id="6"/>
    <tableColumn name="active" id="7"/>
    <tableColumn name="notes" id="8"/>
  </tableColumns>
  <tableStyleInfo name="Canchas-style" showColumnStripes="0" showFirstColumn="1" showLastColumn="1" showRowStripes="1"/>
</table>
</file>

<file path=xl/tables/table3.xml><?xml version="1.0" encoding="utf-8"?>
<table xmlns="http://schemas.openxmlformats.org/spreadsheetml/2006/main" ref="A1:C6" displayName="Table_3" name="Table_3" id="3">
  <tableColumns count="3">
    <tableColumn name="topic" id="1"/>
    <tableColumn name="question_example" id="2"/>
    <tableColumn name="answer" id="3"/>
  </tableColumns>
  <tableStyleInfo name="FAQ-style" showColumnStripes="0" showFirstColumn="1" showLastColumn="1" showRowStripes="1"/>
</table>
</file>

<file path=xl/tables/table4.xml><?xml version="1.0" encoding="utf-8"?>
<table xmlns="http://schemas.openxmlformats.org/spreadsheetml/2006/main" ref="A1:D9" displayName="Table_4" name="Table_4" id="4">
  <tableColumns count="4">
    <tableColumn name="tipo" id="1"/>
    <tableColumn name="nombre" id="2"/>
    <tableColumn name="ejemplos" id="3"/>
    <tableColumn name="descripcion" id="4"/>
  </tableColumns>
  <tableStyleInfo name="Diccionario_PL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6.0"/>
    <col customWidth="1" min="3" max="3" width="20.0"/>
    <col customWidth="1" min="4" max="4" width="14.0"/>
    <col customWidth="1" min="5" max="5" width="12.0"/>
    <col customWidth="1" min="6" max="6" width="42.0"/>
    <col customWidth="1" min="7" max="7" width="22.0"/>
    <col customWidth="1" min="8" max="8" width="14.0"/>
    <col customWidth="1" min="9" max="9" width="12.0"/>
    <col customWidth="1" min="10" max="10" width="10.0"/>
    <col customWidth="1" min="11" max="11" width="16.0"/>
    <col customWidth="1" min="12" max="12" width="14.0"/>
    <col customWidth="1" min="13" max="13" width="16.0"/>
    <col customWidth="1" min="14" max="14" width="18.0"/>
    <col customWidth="1" min="15" max="15" width="30.0"/>
    <col customWidth="1" min="16" max="26" width="8.63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3">
        <v>46186.0</v>
      </c>
      <c r="J2" s="2" t="s">
        <v>23</v>
      </c>
      <c r="K2" s="2">
        <v>60.0</v>
      </c>
      <c r="L2" s="2" t="s">
        <v>24</v>
      </c>
      <c r="M2" s="4">
        <v>90000.0</v>
      </c>
      <c r="N2" s="5">
        <v>46184.385416666664</v>
      </c>
      <c r="O2" s="2" t="s">
        <v>25</v>
      </c>
    </row>
    <row r="3">
      <c r="A3" s="2" t="s">
        <v>26</v>
      </c>
      <c r="B3" s="2" t="s">
        <v>27</v>
      </c>
      <c r="C3" s="2" t="s">
        <v>28</v>
      </c>
      <c r="D3" s="2" t="s">
        <v>29</v>
      </c>
      <c r="E3" s="2" t="s">
        <v>19</v>
      </c>
      <c r="F3" s="2" t="s">
        <v>30</v>
      </c>
      <c r="G3" s="2" t="s">
        <v>31</v>
      </c>
      <c r="H3" s="2" t="s">
        <v>32</v>
      </c>
      <c r="I3" s="3">
        <v>46185.0</v>
      </c>
      <c r="J3" s="2" t="s">
        <v>33</v>
      </c>
      <c r="K3" s="2">
        <v>60.0</v>
      </c>
      <c r="L3" s="6" t="s">
        <v>24</v>
      </c>
      <c r="M3" s="4">
        <v>140000.0</v>
      </c>
      <c r="N3" s="5">
        <v>46184.42013888889</v>
      </c>
      <c r="O3" s="2" t="s">
        <v>34</v>
      </c>
    </row>
    <row r="4">
      <c r="A4" s="2" t="s">
        <v>35</v>
      </c>
      <c r="B4" s="2" t="s">
        <v>36</v>
      </c>
      <c r="C4" s="2" t="s">
        <v>37</v>
      </c>
      <c r="D4" s="2" t="s">
        <v>38</v>
      </c>
      <c r="E4" s="2" t="s">
        <v>19</v>
      </c>
      <c r="F4" s="2" t="s">
        <v>39</v>
      </c>
      <c r="G4" s="2" t="s">
        <v>40</v>
      </c>
      <c r="H4" s="2" t="s">
        <v>22</v>
      </c>
      <c r="I4" s="3">
        <v>46187.0</v>
      </c>
      <c r="J4" s="2" t="s">
        <v>41</v>
      </c>
      <c r="K4" s="2">
        <v>60.0</v>
      </c>
      <c r="L4" s="2" t="s">
        <v>42</v>
      </c>
      <c r="M4" s="4">
        <v>90000.0</v>
      </c>
      <c r="N4" s="5">
        <v>46183.77777777778</v>
      </c>
      <c r="O4" s="2" t="s">
        <v>43</v>
      </c>
    </row>
    <row r="5">
      <c r="A5" s="2" t="s">
        <v>44</v>
      </c>
      <c r="B5" s="2" t="s">
        <v>45</v>
      </c>
      <c r="C5" s="2" t="s">
        <v>46</v>
      </c>
      <c r="D5" s="2" t="s">
        <v>47</v>
      </c>
      <c r="E5" s="2" t="s">
        <v>19</v>
      </c>
      <c r="F5" s="2" t="s">
        <v>48</v>
      </c>
      <c r="G5" s="2" t="s">
        <v>21</v>
      </c>
      <c r="H5" s="2" t="s">
        <v>22</v>
      </c>
      <c r="I5" s="3">
        <v>46185.0</v>
      </c>
      <c r="J5" s="2" t="s">
        <v>49</v>
      </c>
      <c r="K5" s="2">
        <v>120.0</v>
      </c>
      <c r="L5" s="2" t="s">
        <v>24</v>
      </c>
      <c r="M5" s="4">
        <v>180000.0</v>
      </c>
      <c r="N5" s="5">
        <v>46184.47222222222</v>
      </c>
      <c r="O5" s="2" t="s">
        <v>50</v>
      </c>
    </row>
    <row r="6">
      <c r="A6" s="2" t="s">
        <v>51</v>
      </c>
      <c r="B6" s="2" t="s">
        <v>52</v>
      </c>
      <c r="C6" s="2" t="s">
        <v>53</v>
      </c>
      <c r="D6" s="2" t="s">
        <v>54</v>
      </c>
      <c r="E6" s="2" t="s">
        <v>19</v>
      </c>
      <c r="F6" s="2" t="s">
        <v>55</v>
      </c>
      <c r="G6" s="2" t="s">
        <v>56</v>
      </c>
      <c r="H6" s="2"/>
      <c r="I6" s="3"/>
      <c r="J6" s="2"/>
      <c r="K6" s="2"/>
      <c r="L6" s="6" t="s">
        <v>24</v>
      </c>
      <c r="M6" s="4"/>
      <c r="N6" s="5">
        <v>46184.501388888886</v>
      </c>
      <c r="O6" s="2" t="s">
        <v>57</v>
      </c>
    </row>
    <row r="7">
      <c r="A7" s="6" t="s">
        <v>58</v>
      </c>
      <c r="B7" s="6" t="s">
        <v>59</v>
      </c>
      <c r="C7" s="2"/>
      <c r="D7" s="6" t="s">
        <v>60</v>
      </c>
      <c r="E7" s="6" t="s">
        <v>19</v>
      </c>
      <c r="F7" s="6" t="s">
        <v>61</v>
      </c>
      <c r="G7" s="6" t="s">
        <v>21</v>
      </c>
      <c r="H7" s="6" t="s">
        <v>62</v>
      </c>
      <c r="I7" s="7">
        <v>45493.0</v>
      </c>
      <c r="J7" s="8">
        <v>0.7916666666666666</v>
      </c>
      <c r="K7" s="9">
        <v>60.0</v>
      </c>
      <c r="L7" s="6" t="s">
        <v>24</v>
      </c>
      <c r="M7" s="4"/>
      <c r="N7" s="6" t="s">
        <v>63</v>
      </c>
      <c r="O7" s="6" t="s">
        <v>64</v>
      </c>
    </row>
    <row r="8">
      <c r="A8" s="6" t="s">
        <v>65</v>
      </c>
      <c r="B8" s="6" t="s">
        <v>59</v>
      </c>
      <c r="C8" s="2"/>
      <c r="D8" s="6" t="s">
        <v>60</v>
      </c>
      <c r="E8" s="6" t="s">
        <v>19</v>
      </c>
      <c r="F8" s="6" t="s">
        <v>66</v>
      </c>
      <c r="G8" s="6" t="s">
        <v>21</v>
      </c>
      <c r="H8" s="6" t="s">
        <v>62</v>
      </c>
      <c r="I8" s="7">
        <v>45493.0</v>
      </c>
      <c r="J8" s="8">
        <v>0.9166666666666666</v>
      </c>
      <c r="K8" s="9">
        <v>60.0</v>
      </c>
      <c r="L8" s="6" t="s">
        <v>24</v>
      </c>
      <c r="M8" s="4"/>
      <c r="N8" s="6" t="s">
        <v>67</v>
      </c>
      <c r="O8" s="6" t="s">
        <v>68</v>
      </c>
    </row>
    <row r="9">
      <c r="A9" s="6" t="s">
        <v>69</v>
      </c>
      <c r="B9" s="6" t="s">
        <v>59</v>
      </c>
      <c r="C9" s="2"/>
      <c r="D9" s="6" t="s">
        <v>60</v>
      </c>
      <c r="E9" s="6" t="s">
        <v>19</v>
      </c>
      <c r="F9" s="6" t="s">
        <v>66</v>
      </c>
      <c r="G9" s="6" t="s">
        <v>21</v>
      </c>
      <c r="H9" s="6" t="s">
        <v>32</v>
      </c>
      <c r="I9" s="7">
        <v>46185.0</v>
      </c>
      <c r="J9" s="8">
        <v>0.9166666666666666</v>
      </c>
      <c r="K9" s="9">
        <v>60.0</v>
      </c>
      <c r="L9" s="6" t="s">
        <v>24</v>
      </c>
      <c r="M9" s="10">
        <v>140000.0</v>
      </c>
      <c r="N9" s="6" t="s">
        <v>70</v>
      </c>
      <c r="O9" s="6" t="s">
        <v>71</v>
      </c>
    </row>
    <row r="10">
      <c r="A10" s="6" t="s">
        <v>72</v>
      </c>
      <c r="B10" s="6" t="s">
        <v>59</v>
      </c>
      <c r="C10" s="6" t="s">
        <v>72</v>
      </c>
      <c r="D10" s="6">
        <v>3.001234567E9</v>
      </c>
      <c r="E10" s="6" t="s">
        <v>19</v>
      </c>
      <c r="F10" s="6" t="s">
        <v>73</v>
      </c>
      <c r="G10" s="6" t="s">
        <v>21</v>
      </c>
      <c r="H10" s="6" t="s">
        <v>32</v>
      </c>
      <c r="I10" s="7">
        <v>46185.0</v>
      </c>
      <c r="J10" s="7">
        <v>46185.0</v>
      </c>
      <c r="K10" s="9">
        <v>60.0</v>
      </c>
      <c r="L10" s="9">
        <v>60.0</v>
      </c>
      <c r="M10" s="10">
        <v>140000.0</v>
      </c>
      <c r="N10" s="6" t="s">
        <v>74</v>
      </c>
      <c r="O10" s="6" t="s">
        <v>75</v>
      </c>
    </row>
    <row r="11">
      <c r="A11" s="6" t="s">
        <v>76</v>
      </c>
      <c r="B11" s="6" t="s">
        <v>59</v>
      </c>
      <c r="C11" s="6" t="s">
        <v>76</v>
      </c>
      <c r="D11" s="6">
        <v>3.105558899E9</v>
      </c>
      <c r="E11" s="6" t="s">
        <v>19</v>
      </c>
      <c r="F11" s="6" t="s">
        <v>77</v>
      </c>
      <c r="G11" s="6" t="s">
        <v>21</v>
      </c>
      <c r="H11" s="6" t="s">
        <v>32</v>
      </c>
      <c r="I11" s="7">
        <v>46185.0</v>
      </c>
      <c r="J11" s="7">
        <v>46185.0</v>
      </c>
      <c r="K11" s="9">
        <v>60.0</v>
      </c>
      <c r="L11" s="9">
        <v>60.0</v>
      </c>
      <c r="M11" s="10">
        <v>140000.0</v>
      </c>
      <c r="N11" s="6" t="s">
        <v>78</v>
      </c>
      <c r="O11" s="6" t="s">
        <v>75</v>
      </c>
    </row>
    <row r="12">
      <c r="A12" s="6" t="s">
        <v>79</v>
      </c>
      <c r="B12" s="6" t="s">
        <v>59</v>
      </c>
      <c r="C12" s="6" t="s">
        <v>79</v>
      </c>
      <c r="D12" s="6">
        <v>3.001234567E9</v>
      </c>
      <c r="E12" s="6" t="s">
        <v>19</v>
      </c>
      <c r="F12" s="6" t="s">
        <v>73</v>
      </c>
      <c r="G12" s="6" t="s">
        <v>21</v>
      </c>
      <c r="H12" s="6" t="s">
        <v>32</v>
      </c>
      <c r="I12" s="7">
        <v>46185.0</v>
      </c>
      <c r="J12" s="7">
        <v>46185.0</v>
      </c>
      <c r="K12" s="9">
        <v>60.0</v>
      </c>
      <c r="L12" s="9">
        <v>60.0</v>
      </c>
      <c r="M12" s="10">
        <v>140000.0</v>
      </c>
      <c r="N12" s="6" t="s">
        <v>80</v>
      </c>
      <c r="O12" s="6" t="s">
        <v>75</v>
      </c>
    </row>
    <row r="13">
      <c r="A13" s="6" t="s">
        <v>81</v>
      </c>
      <c r="B13" s="6" t="s">
        <v>59</v>
      </c>
      <c r="C13" s="6" t="s">
        <v>81</v>
      </c>
      <c r="D13" s="6">
        <v>3.001234567E9</v>
      </c>
      <c r="E13" s="6" t="s">
        <v>19</v>
      </c>
      <c r="F13" s="6" t="s">
        <v>73</v>
      </c>
      <c r="G13" s="6" t="s">
        <v>21</v>
      </c>
      <c r="H13" s="6" t="s">
        <v>32</v>
      </c>
      <c r="I13" s="7">
        <v>46185.0</v>
      </c>
      <c r="J13" s="7">
        <v>46185.0</v>
      </c>
      <c r="K13" s="9">
        <v>60.0</v>
      </c>
      <c r="L13" s="9">
        <v>60.0</v>
      </c>
      <c r="M13" s="10">
        <v>140000.0</v>
      </c>
      <c r="N13" s="6" t="s">
        <v>82</v>
      </c>
      <c r="O13" s="6" t="s">
        <v>75</v>
      </c>
    </row>
    <row r="14">
      <c r="A14" s="6" t="s">
        <v>83</v>
      </c>
      <c r="B14" s="6" t="s">
        <v>59</v>
      </c>
      <c r="C14" s="6" t="s">
        <v>83</v>
      </c>
      <c r="D14" s="6">
        <v>3.001234567E9</v>
      </c>
      <c r="E14" s="6" t="s">
        <v>19</v>
      </c>
      <c r="F14" s="6" t="s">
        <v>73</v>
      </c>
      <c r="G14" s="6" t="s">
        <v>21</v>
      </c>
      <c r="H14" s="6" t="s">
        <v>32</v>
      </c>
      <c r="I14" s="7">
        <v>46185.0</v>
      </c>
      <c r="J14" s="8">
        <v>0.9166666666666666</v>
      </c>
      <c r="K14" s="9">
        <v>60.0</v>
      </c>
      <c r="L14" s="9">
        <v>60.0</v>
      </c>
      <c r="M14" s="10">
        <v>140000.0</v>
      </c>
      <c r="N14" s="6" t="s">
        <v>84</v>
      </c>
      <c r="O14" s="6" t="s">
        <v>75</v>
      </c>
    </row>
    <row r="15">
      <c r="A15" s="6" t="s">
        <v>85</v>
      </c>
      <c r="B15" s="6" t="s">
        <v>59</v>
      </c>
      <c r="C15" s="6" t="s">
        <v>85</v>
      </c>
      <c r="D15" s="6">
        <v>3.001234567E9</v>
      </c>
      <c r="E15" s="6" t="s">
        <v>19</v>
      </c>
      <c r="F15" s="6" t="s">
        <v>73</v>
      </c>
      <c r="G15" s="6" t="s">
        <v>21</v>
      </c>
      <c r="H15" s="6" t="s">
        <v>32</v>
      </c>
      <c r="I15" s="7">
        <v>46185.0</v>
      </c>
      <c r="J15" s="8">
        <v>0.9166666666666666</v>
      </c>
      <c r="K15" s="9">
        <v>60.0</v>
      </c>
      <c r="L15" s="6" t="s">
        <v>24</v>
      </c>
      <c r="M15" s="10">
        <v>140000.0</v>
      </c>
      <c r="N15" s="6" t="s">
        <v>86</v>
      </c>
      <c r="O15" s="6" t="s">
        <v>75</v>
      </c>
    </row>
    <row r="16">
      <c r="A16" s="6" t="s">
        <v>87</v>
      </c>
      <c r="B16" s="6" t="s">
        <v>59</v>
      </c>
      <c r="C16" s="6" t="s">
        <v>87</v>
      </c>
      <c r="D16" s="6">
        <v>283783.0</v>
      </c>
      <c r="E16" s="6" t="s">
        <v>19</v>
      </c>
      <c r="F16" s="6" t="s">
        <v>88</v>
      </c>
      <c r="G16" s="6" t="s">
        <v>21</v>
      </c>
      <c r="H16" s="6" t="s">
        <v>89</v>
      </c>
      <c r="I16" s="7">
        <v>46185.0</v>
      </c>
      <c r="J16" s="8">
        <v>0.9583333333333334</v>
      </c>
      <c r="K16" s="9">
        <v>60.0</v>
      </c>
      <c r="L16" s="6" t="s">
        <v>42</v>
      </c>
      <c r="M16" s="10">
        <v>220000.0</v>
      </c>
      <c r="N16" s="6" t="s">
        <v>90</v>
      </c>
      <c r="O16" s="6" t="s">
        <v>75</v>
      </c>
    </row>
    <row r="17">
      <c r="A17" s="6" t="s">
        <v>91</v>
      </c>
      <c r="B17" s="6" t="s">
        <v>59</v>
      </c>
      <c r="C17" s="6" t="s">
        <v>92</v>
      </c>
      <c r="D17" s="6">
        <v>3.001234567E9</v>
      </c>
      <c r="E17" s="6" t="s">
        <v>19</v>
      </c>
      <c r="F17" s="6" t="s">
        <v>73</v>
      </c>
      <c r="G17" s="6" t="s">
        <v>21</v>
      </c>
      <c r="H17" s="6" t="s">
        <v>32</v>
      </c>
      <c r="I17" s="7">
        <v>46186.0</v>
      </c>
      <c r="J17" s="8">
        <v>0.9166666666666666</v>
      </c>
      <c r="K17" s="9">
        <v>60.0</v>
      </c>
      <c r="L17" s="6" t="s">
        <v>42</v>
      </c>
      <c r="M17" s="10">
        <v>140000.0</v>
      </c>
      <c r="N17" s="6" t="s">
        <v>93</v>
      </c>
      <c r="O17" s="6" t="s">
        <v>94</v>
      </c>
    </row>
    <row r="18">
      <c r="A18" s="6" t="s">
        <v>95</v>
      </c>
      <c r="B18" s="6" t="s">
        <v>59</v>
      </c>
      <c r="C18" s="6" t="s">
        <v>96</v>
      </c>
      <c r="D18" s="6">
        <v>3.102308123E9</v>
      </c>
      <c r="E18" s="6" t="s">
        <v>19</v>
      </c>
      <c r="F18" s="6" t="s">
        <v>97</v>
      </c>
      <c r="G18" s="6" t="s">
        <v>21</v>
      </c>
      <c r="H18" s="6" t="s">
        <v>32</v>
      </c>
      <c r="I18" s="7">
        <v>46186.0</v>
      </c>
      <c r="J18" s="8">
        <v>0.5416666666666666</v>
      </c>
      <c r="K18" s="9">
        <v>60.0</v>
      </c>
      <c r="L18" s="6" t="s">
        <v>24</v>
      </c>
      <c r="M18" s="10">
        <v>140000.0</v>
      </c>
      <c r="N18" s="6" t="s">
        <v>98</v>
      </c>
      <c r="O18" s="6" t="s">
        <v>75</v>
      </c>
    </row>
    <row r="19">
      <c r="A19" s="6" t="s">
        <v>99</v>
      </c>
      <c r="B19" s="6" t="s">
        <v>59</v>
      </c>
      <c r="C19" s="6" t="s">
        <v>100</v>
      </c>
      <c r="D19" s="6">
        <v>3.001234567E9</v>
      </c>
      <c r="E19" s="6" t="s">
        <v>19</v>
      </c>
      <c r="F19" s="6" t="s">
        <v>101</v>
      </c>
      <c r="G19" s="6" t="s">
        <v>21</v>
      </c>
      <c r="H19" s="6" t="s">
        <v>32</v>
      </c>
      <c r="I19" s="7">
        <v>46186.0</v>
      </c>
      <c r="J19" s="8">
        <v>0.9166666666666666</v>
      </c>
      <c r="K19" s="9">
        <v>60.0</v>
      </c>
      <c r="L19" s="6" t="s">
        <v>42</v>
      </c>
      <c r="M19" s="10">
        <v>140000.0</v>
      </c>
      <c r="N19" s="6" t="s">
        <v>102</v>
      </c>
      <c r="O19" s="6" t="s">
        <v>103</v>
      </c>
    </row>
    <row r="20">
      <c r="A20" s="6" t="s">
        <v>104</v>
      </c>
      <c r="B20" s="6" t="s">
        <v>59</v>
      </c>
      <c r="C20" s="6" t="s">
        <v>105</v>
      </c>
      <c r="D20" s="6">
        <v>3.123456789E9</v>
      </c>
      <c r="E20" s="6" t="s">
        <v>19</v>
      </c>
      <c r="F20" s="6" t="s">
        <v>106</v>
      </c>
      <c r="G20" s="6" t="s">
        <v>21</v>
      </c>
      <c r="H20" s="6" t="s">
        <v>22</v>
      </c>
      <c r="I20" s="7">
        <v>46187.0</v>
      </c>
      <c r="J20" s="8">
        <v>0.2916666666666667</v>
      </c>
      <c r="K20" s="9">
        <v>60.0</v>
      </c>
      <c r="L20" s="6" t="s">
        <v>24</v>
      </c>
      <c r="M20" s="10">
        <v>90000.0</v>
      </c>
      <c r="N20" s="6" t="s">
        <v>107</v>
      </c>
      <c r="O20" s="6" t="s">
        <v>75</v>
      </c>
    </row>
    <row r="21" ht="15.75" customHeight="1">
      <c r="A21" s="6" t="s">
        <v>108</v>
      </c>
      <c r="B21" s="6" t="s">
        <v>59</v>
      </c>
      <c r="C21" s="6" t="s">
        <v>109</v>
      </c>
      <c r="D21" s="6">
        <v>3.102308643E9</v>
      </c>
      <c r="E21" s="6" t="s">
        <v>19</v>
      </c>
      <c r="F21" s="6" t="s">
        <v>110</v>
      </c>
      <c r="G21" s="6" t="s">
        <v>21</v>
      </c>
      <c r="H21" s="6" t="s">
        <v>32</v>
      </c>
      <c r="I21" s="7">
        <v>46186.0</v>
      </c>
      <c r="J21" s="8">
        <v>0.875</v>
      </c>
      <c r="K21" s="9">
        <v>60.0</v>
      </c>
      <c r="L21" s="6" t="s">
        <v>24</v>
      </c>
      <c r="M21" s="10">
        <v>140000.0</v>
      </c>
      <c r="N21" s="6" t="s">
        <v>111</v>
      </c>
      <c r="O21" s="6" t="s">
        <v>75</v>
      </c>
    </row>
    <row r="22" ht="15.75" customHeight="1">
      <c r="A22" s="6" t="s">
        <v>112</v>
      </c>
      <c r="B22" s="6" t="s">
        <v>59</v>
      </c>
      <c r="C22" s="6" t="s">
        <v>113</v>
      </c>
      <c r="D22" s="6">
        <v>3.102304455E9</v>
      </c>
      <c r="E22" s="6" t="s">
        <v>19</v>
      </c>
      <c r="F22" s="6" t="s">
        <v>114</v>
      </c>
      <c r="G22" s="6" t="s">
        <v>21</v>
      </c>
      <c r="H22" s="6" t="s">
        <v>22</v>
      </c>
      <c r="I22" s="7">
        <v>46187.0</v>
      </c>
      <c r="J22" s="8">
        <v>0.7083333333333334</v>
      </c>
      <c r="K22" s="9">
        <v>60.0</v>
      </c>
      <c r="L22" s="6" t="s">
        <v>42</v>
      </c>
      <c r="M22" s="10">
        <v>90000.0</v>
      </c>
      <c r="N22" s="6" t="s">
        <v>115</v>
      </c>
      <c r="O22" s="6" t="s">
        <v>116</v>
      </c>
    </row>
    <row r="23" ht="15.75" customHeight="1">
      <c r="A23" s="6" t="s">
        <v>117</v>
      </c>
      <c r="B23" s="6" t="s">
        <v>59</v>
      </c>
      <c r="C23" s="6" t="s">
        <v>118</v>
      </c>
      <c r="D23" s="6">
        <v>3.102305566E9</v>
      </c>
      <c r="E23" s="6" t="s">
        <v>19</v>
      </c>
      <c r="F23" s="6" t="s">
        <v>119</v>
      </c>
      <c r="G23" s="6" t="s">
        <v>21</v>
      </c>
      <c r="H23" s="6" t="s">
        <v>32</v>
      </c>
      <c r="I23" s="7">
        <v>46187.0</v>
      </c>
      <c r="J23" s="8">
        <v>0.875</v>
      </c>
      <c r="K23" s="9">
        <v>60.0</v>
      </c>
      <c r="L23" s="6" t="s">
        <v>24</v>
      </c>
      <c r="M23" s="10">
        <v>140000.0</v>
      </c>
      <c r="N23" s="6" t="s">
        <v>120</v>
      </c>
      <c r="O23" s="6" t="s">
        <v>75</v>
      </c>
    </row>
    <row r="24" ht="15.75" customHeight="1">
      <c r="A24" s="6" t="s">
        <v>121</v>
      </c>
      <c r="B24" s="6" t="s">
        <v>122</v>
      </c>
      <c r="C24" s="6" t="s">
        <v>123</v>
      </c>
      <c r="D24" s="6">
        <v>3.154147323E9</v>
      </c>
      <c r="E24" s="6" t="s">
        <v>19</v>
      </c>
      <c r="F24" s="6" t="s">
        <v>124</v>
      </c>
      <c r="G24" s="6" t="s">
        <v>21</v>
      </c>
      <c r="H24" s="6" t="s">
        <v>22</v>
      </c>
      <c r="I24" s="7">
        <v>46187.0</v>
      </c>
      <c r="J24" s="8">
        <v>0.8333333333333334</v>
      </c>
      <c r="K24" s="9">
        <v>60.0</v>
      </c>
      <c r="L24" s="6" t="s">
        <v>24</v>
      </c>
      <c r="M24" s="10">
        <v>90000.0</v>
      </c>
      <c r="N24" s="6" t="s">
        <v>125</v>
      </c>
      <c r="O24" s="6" t="s">
        <v>75</v>
      </c>
    </row>
    <row r="25" ht="15.75" customHeight="1">
      <c r="A25" s="6" t="s">
        <v>126</v>
      </c>
      <c r="B25" s="6" t="s">
        <v>59</v>
      </c>
      <c r="C25" s="6" t="s">
        <v>92</v>
      </c>
      <c r="D25" s="6">
        <v>3.001234567E9</v>
      </c>
      <c r="E25" s="6" t="s">
        <v>19</v>
      </c>
      <c r="F25" s="6" t="s">
        <v>127</v>
      </c>
      <c r="G25" s="6" t="s">
        <v>21</v>
      </c>
      <c r="H25" s="6" t="s">
        <v>32</v>
      </c>
      <c r="I25" s="7">
        <v>46188.0</v>
      </c>
      <c r="J25" s="8">
        <v>0.9166666666666666</v>
      </c>
      <c r="K25" s="9">
        <v>60.0</v>
      </c>
      <c r="L25" s="6" t="s">
        <v>24</v>
      </c>
      <c r="M25" s="10">
        <v>140000.0</v>
      </c>
      <c r="N25" s="6" t="s">
        <v>128</v>
      </c>
      <c r="O25" s="6" t="s">
        <v>75</v>
      </c>
    </row>
    <row r="26" ht="15.75" customHeight="1">
      <c r="A26" s="2"/>
      <c r="B26" s="2"/>
      <c r="C26" s="2"/>
      <c r="D26" s="2"/>
      <c r="E26" s="2"/>
      <c r="F26" s="2"/>
      <c r="G26" s="2"/>
      <c r="H26" s="2"/>
      <c r="I26" s="3"/>
      <c r="J26" s="2"/>
      <c r="K26" s="2"/>
      <c r="L26" s="2"/>
      <c r="M26" s="4"/>
      <c r="N26" s="5"/>
      <c r="O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3"/>
      <c r="J27" s="2"/>
      <c r="K27" s="2"/>
      <c r="L27" s="2"/>
      <c r="M27" s="4"/>
      <c r="N27" s="5"/>
      <c r="O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3"/>
      <c r="J28" s="2"/>
      <c r="K28" s="2"/>
      <c r="L28" s="2"/>
      <c r="M28" s="4"/>
      <c r="N28" s="5"/>
      <c r="O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3"/>
      <c r="J29" s="2"/>
      <c r="K29" s="2"/>
      <c r="L29" s="2"/>
      <c r="M29" s="4"/>
      <c r="N29" s="5"/>
      <c r="O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3"/>
      <c r="J30" s="2"/>
      <c r="K30" s="2"/>
      <c r="L30" s="2"/>
      <c r="M30" s="4"/>
      <c r="N30" s="5"/>
      <c r="O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3"/>
      <c r="J31" s="2"/>
      <c r="K31" s="2"/>
      <c r="L31" s="2"/>
      <c r="M31" s="4"/>
      <c r="N31" s="5"/>
      <c r="O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3"/>
      <c r="J32" s="2"/>
      <c r="K32" s="2"/>
      <c r="L32" s="2"/>
      <c r="M32" s="4"/>
      <c r="N32" s="5"/>
      <c r="O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3"/>
      <c r="J33" s="2"/>
      <c r="K33" s="2"/>
      <c r="L33" s="2"/>
      <c r="M33" s="4"/>
      <c r="N33" s="5"/>
      <c r="O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3"/>
      <c r="J34" s="2"/>
      <c r="K34" s="2"/>
      <c r="L34" s="2"/>
      <c r="M34" s="4"/>
      <c r="N34" s="5"/>
      <c r="O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3"/>
      <c r="J35" s="2"/>
      <c r="K35" s="2"/>
      <c r="L35" s="2"/>
      <c r="M35" s="4"/>
      <c r="N35" s="5"/>
      <c r="O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3"/>
      <c r="J36" s="2"/>
      <c r="K36" s="2"/>
      <c r="L36" s="2"/>
      <c r="M36" s="4"/>
      <c r="N36" s="5"/>
      <c r="O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3"/>
      <c r="J37" s="2"/>
      <c r="K37" s="2"/>
      <c r="L37" s="2"/>
      <c r="M37" s="4"/>
      <c r="N37" s="5"/>
      <c r="O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3"/>
      <c r="J38" s="2"/>
      <c r="K38" s="2"/>
      <c r="L38" s="2"/>
      <c r="M38" s="4"/>
      <c r="N38" s="5"/>
      <c r="O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3"/>
      <c r="J39" s="2"/>
      <c r="K39" s="2"/>
      <c r="L39" s="2"/>
      <c r="M39" s="4"/>
      <c r="N39" s="5"/>
      <c r="O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3"/>
      <c r="J40" s="2"/>
      <c r="K40" s="2"/>
      <c r="L40" s="2"/>
      <c r="M40" s="4"/>
      <c r="N40" s="5"/>
      <c r="O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3"/>
      <c r="J41" s="2"/>
      <c r="K41" s="2"/>
      <c r="L41" s="2"/>
      <c r="M41" s="4"/>
      <c r="N41" s="5"/>
      <c r="O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3"/>
      <c r="J42" s="2"/>
      <c r="K42" s="2"/>
      <c r="L42" s="2"/>
      <c r="M42" s="4"/>
      <c r="N42" s="5"/>
      <c r="O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3"/>
      <c r="J43" s="2"/>
      <c r="K43" s="2"/>
      <c r="L43" s="2"/>
      <c r="M43" s="4"/>
      <c r="N43" s="5"/>
      <c r="O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3"/>
      <c r="J44" s="2"/>
      <c r="K44" s="2"/>
      <c r="L44" s="2"/>
      <c r="M44" s="4"/>
      <c r="N44" s="5"/>
      <c r="O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3"/>
      <c r="J45" s="2"/>
      <c r="K45" s="2"/>
      <c r="L45" s="2"/>
      <c r="M45" s="4"/>
      <c r="N45" s="5"/>
      <c r="O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3"/>
      <c r="J46" s="2"/>
      <c r="K46" s="2"/>
      <c r="L46" s="2"/>
      <c r="M46" s="4"/>
      <c r="N46" s="5"/>
      <c r="O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3"/>
      <c r="J47" s="2"/>
      <c r="K47" s="2"/>
      <c r="L47" s="2"/>
      <c r="M47" s="4"/>
      <c r="N47" s="5"/>
      <c r="O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3"/>
      <c r="J48" s="2"/>
      <c r="K48" s="2"/>
      <c r="L48" s="2"/>
      <c r="M48" s="4"/>
      <c r="N48" s="5"/>
      <c r="O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3"/>
      <c r="J49" s="2"/>
      <c r="K49" s="2"/>
      <c r="L49" s="2"/>
      <c r="M49" s="4"/>
      <c r="N49" s="5"/>
      <c r="O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3"/>
      <c r="J50" s="2"/>
      <c r="K50" s="2"/>
      <c r="L50" s="2"/>
      <c r="M50" s="4"/>
      <c r="N50" s="5"/>
      <c r="O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3"/>
      <c r="J51" s="2"/>
      <c r="K51" s="2"/>
      <c r="L51" s="2"/>
      <c r="M51" s="4"/>
      <c r="N51" s="5"/>
      <c r="O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3"/>
      <c r="J52" s="2"/>
      <c r="K52" s="2"/>
      <c r="L52" s="2"/>
      <c r="M52" s="4"/>
      <c r="N52" s="5"/>
      <c r="O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3"/>
      <c r="J53" s="2"/>
      <c r="K53" s="2"/>
      <c r="L53" s="2"/>
      <c r="M53" s="4"/>
      <c r="N53" s="5"/>
      <c r="O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3"/>
      <c r="J54" s="2"/>
      <c r="K54" s="2"/>
      <c r="L54" s="2"/>
      <c r="M54" s="4"/>
      <c r="N54" s="5"/>
      <c r="O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3"/>
      <c r="J55" s="2"/>
      <c r="K55" s="2"/>
      <c r="L55" s="2"/>
      <c r="M55" s="4"/>
      <c r="N55" s="5"/>
      <c r="O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3"/>
      <c r="J56" s="2"/>
      <c r="K56" s="2"/>
      <c r="L56" s="2"/>
      <c r="M56" s="4"/>
      <c r="N56" s="5"/>
      <c r="O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3"/>
      <c r="J57" s="2"/>
      <c r="K57" s="2"/>
      <c r="L57" s="2"/>
      <c r="M57" s="4"/>
      <c r="N57" s="5"/>
      <c r="O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3"/>
      <c r="J58" s="2"/>
      <c r="K58" s="2"/>
      <c r="L58" s="2"/>
      <c r="M58" s="4"/>
      <c r="N58" s="5"/>
      <c r="O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3"/>
      <c r="J59" s="2"/>
      <c r="K59" s="2"/>
      <c r="L59" s="2"/>
      <c r="M59" s="4"/>
      <c r="N59" s="5"/>
      <c r="O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3"/>
      <c r="J60" s="2"/>
      <c r="K60" s="2"/>
      <c r="L60" s="2"/>
      <c r="M60" s="4"/>
      <c r="N60" s="5"/>
      <c r="O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3"/>
      <c r="J61" s="2"/>
      <c r="K61" s="2"/>
      <c r="L61" s="2"/>
      <c r="M61" s="4"/>
      <c r="N61" s="5"/>
      <c r="O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3"/>
      <c r="J62" s="2"/>
      <c r="K62" s="2"/>
      <c r="L62" s="2"/>
      <c r="M62" s="4"/>
      <c r="N62" s="5"/>
      <c r="O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3"/>
      <c r="J63" s="2"/>
      <c r="K63" s="2"/>
      <c r="L63" s="2"/>
      <c r="M63" s="4"/>
      <c r="N63" s="5"/>
      <c r="O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3"/>
      <c r="J64" s="2"/>
      <c r="K64" s="2"/>
      <c r="L64" s="2"/>
      <c r="M64" s="4"/>
      <c r="N64" s="5"/>
      <c r="O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3"/>
      <c r="J65" s="2"/>
      <c r="K65" s="2"/>
      <c r="L65" s="2"/>
      <c r="M65" s="4"/>
      <c r="N65" s="5"/>
      <c r="O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3"/>
      <c r="J66" s="2"/>
      <c r="K66" s="2"/>
      <c r="L66" s="2"/>
      <c r="M66" s="4"/>
      <c r="N66" s="5"/>
      <c r="O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3"/>
      <c r="J67" s="2"/>
      <c r="K67" s="2"/>
      <c r="L67" s="2"/>
      <c r="M67" s="4"/>
      <c r="N67" s="5"/>
      <c r="O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3"/>
      <c r="J68" s="2"/>
      <c r="K68" s="2"/>
      <c r="L68" s="2"/>
      <c r="M68" s="4"/>
      <c r="N68" s="5"/>
      <c r="O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3"/>
      <c r="J69" s="2"/>
      <c r="K69" s="2"/>
      <c r="L69" s="2"/>
      <c r="M69" s="4"/>
      <c r="N69" s="5"/>
      <c r="O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3"/>
      <c r="J70" s="2"/>
      <c r="K70" s="2"/>
      <c r="L70" s="2"/>
      <c r="M70" s="4"/>
      <c r="N70" s="5"/>
      <c r="O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3"/>
      <c r="J71" s="2"/>
      <c r="K71" s="2"/>
      <c r="L71" s="2"/>
      <c r="M71" s="4"/>
      <c r="N71" s="5"/>
      <c r="O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3"/>
      <c r="J72" s="2"/>
      <c r="K72" s="2"/>
      <c r="L72" s="2"/>
      <c r="M72" s="4"/>
      <c r="N72" s="5"/>
      <c r="O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3"/>
      <c r="J73" s="2"/>
      <c r="K73" s="2"/>
      <c r="L73" s="2"/>
      <c r="M73" s="4"/>
      <c r="N73" s="5"/>
      <c r="O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3"/>
      <c r="J74" s="2"/>
      <c r="K74" s="2"/>
      <c r="L74" s="2"/>
      <c r="M74" s="4"/>
      <c r="N74" s="5"/>
      <c r="O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3"/>
      <c r="J75" s="2"/>
      <c r="K75" s="2"/>
      <c r="L75" s="2"/>
      <c r="M75" s="4"/>
      <c r="N75" s="5"/>
      <c r="O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3"/>
      <c r="J76" s="2"/>
      <c r="K76" s="2"/>
      <c r="L76" s="2"/>
      <c r="M76" s="4"/>
      <c r="N76" s="5"/>
      <c r="O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3"/>
      <c r="J77" s="2"/>
      <c r="K77" s="2"/>
      <c r="L77" s="2"/>
      <c r="M77" s="4"/>
      <c r="N77" s="5"/>
      <c r="O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3"/>
      <c r="J78" s="2"/>
      <c r="K78" s="2"/>
      <c r="L78" s="2"/>
      <c r="M78" s="4"/>
      <c r="N78" s="5"/>
      <c r="O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3"/>
      <c r="J79" s="2"/>
      <c r="K79" s="2"/>
      <c r="L79" s="2"/>
      <c r="M79" s="4"/>
      <c r="N79" s="5"/>
      <c r="O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3"/>
      <c r="J80" s="2"/>
      <c r="K80" s="2"/>
      <c r="L80" s="2"/>
      <c r="M80" s="4"/>
      <c r="N80" s="5"/>
      <c r="O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3"/>
      <c r="J81" s="2"/>
      <c r="K81" s="2"/>
      <c r="L81" s="2"/>
      <c r="M81" s="4"/>
      <c r="N81" s="5"/>
      <c r="O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3"/>
      <c r="J82" s="2"/>
      <c r="K82" s="2"/>
      <c r="L82" s="2"/>
      <c r="M82" s="4"/>
      <c r="N82" s="5"/>
      <c r="O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3"/>
      <c r="J83" s="2"/>
      <c r="K83" s="2"/>
      <c r="L83" s="2"/>
      <c r="M83" s="4"/>
      <c r="N83" s="5"/>
      <c r="O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3"/>
      <c r="J84" s="2"/>
      <c r="K84" s="2"/>
      <c r="L84" s="2"/>
      <c r="M84" s="4"/>
      <c r="N84" s="5"/>
      <c r="O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3"/>
      <c r="J85" s="2"/>
      <c r="K85" s="2"/>
      <c r="L85" s="2"/>
      <c r="M85" s="4"/>
      <c r="N85" s="5"/>
      <c r="O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3"/>
      <c r="J86" s="2"/>
      <c r="K86" s="2"/>
      <c r="L86" s="2"/>
      <c r="M86" s="4"/>
      <c r="N86" s="5"/>
      <c r="O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3"/>
      <c r="J87" s="2"/>
      <c r="K87" s="2"/>
      <c r="L87" s="2"/>
      <c r="M87" s="4"/>
      <c r="N87" s="5"/>
      <c r="O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3"/>
      <c r="J88" s="2"/>
      <c r="K88" s="2"/>
      <c r="L88" s="2"/>
      <c r="M88" s="4"/>
      <c r="N88" s="5"/>
      <c r="O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3"/>
      <c r="J89" s="2"/>
      <c r="K89" s="2"/>
      <c r="L89" s="2"/>
      <c r="M89" s="4"/>
      <c r="N89" s="5"/>
      <c r="O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3"/>
      <c r="J90" s="2"/>
      <c r="K90" s="2"/>
      <c r="L90" s="2"/>
      <c r="M90" s="4"/>
      <c r="N90" s="5"/>
      <c r="O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3"/>
      <c r="J91" s="2"/>
      <c r="K91" s="2"/>
      <c r="L91" s="2"/>
      <c r="M91" s="4"/>
      <c r="N91" s="5"/>
      <c r="O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3"/>
      <c r="J92" s="2"/>
      <c r="K92" s="2"/>
      <c r="L92" s="2"/>
      <c r="M92" s="4"/>
      <c r="N92" s="5"/>
      <c r="O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3"/>
      <c r="J93" s="2"/>
      <c r="K93" s="2"/>
      <c r="L93" s="2"/>
      <c r="M93" s="4"/>
      <c r="N93" s="5"/>
      <c r="O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3"/>
      <c r="J94" s="2"/>
      <c r="K94" s="2"/>
      <c r="L94" s="2"/>
      <c r="M94" s="4"/>
      <c r="N94" s="5"/>
      <c r="O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3"/>
      <c r="J95" s="2"/>
      <c r="K95" s="2"/>
      <c r="L95" s="2"/>
      <c r="M95" s="4"/>
      <c r="N95" s="5"/>
      <c r="O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3"/>
      <c r="J96" s="2"/>
      <c r="K96" s="2"/>
      <c r="L96" s="2"/>
      <c r="M96" s="4"/>
      <c r="N96" s="5"/>
      <c r="O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3"/>
      <c r="J97" s="2"/>
      <c r="K97" s="2"/>
      <c r="L97" s="2"/>
      <c r="M97" s="4"/>
      <c r="N97" s="5"/>
      <c r="O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3"/>
      <c r="J98" s="2"/>
      <c r="K98" s="2"/>
      <c r="L98" s="2"/>
      <c r="M98" s="4"/>
      <c r="N98" s="5"/>
      <c r="O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3"/>
      <c r="J99" s="2"/>
      <c r="K99" s="2"/>
      <c r="L99" s="2"/>
      <c r="M99" s="4"/>
      <c r="N99" s="5"/>
      <c r="O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3"/>
      <c r="J100" s="2"/>
      <c r="K100" s="2"/>
      <c r="L100" s="2"/>
      <c r="M100" s="4"/>
      <c r="N100" s="5"/>
      <c r="O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3"/>
      <c r="J101" s="2"/>
      <c r="K101" s="2"/>
      <c r="L101" s="2"/>
      <c r="M101" s="4"/>
      <c r="N101" s="5"/>
      <c r="O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3"/>
      <c r="J102" s="2"/>
      <c r="K102" s="2"/>
      <c r="L102" s="2"/>
      <c r="M102" s="4"/>
      <c r="N102" s="5"/>
      <c r="O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3"/>
      <c r="J103" s="2"/>
      <c r="K103" s="2"/>
      <c r="L103" s="2"/>
      <c r="M103" s="4"/>
      <c r="N103" s="5"/>
      <c r="O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3"/>
      <c r="J104" s="2"/>
      <c r="K104" s="2"/>
      <c r="L104" s="2"/>
      <c r="M104" s="4"/>
      <c r="N104" s="5"/>
      <c r="O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3"/>
      <c r="J105" s="2"/>
      <c r="K105" s="2"/>
      <c r="L105" s="2"/>
      <c r="M105" s="4"/>
      <c r="N105" s="5"/>
      <c r="O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3"/>
      <c r="J106" s="2"/>
      <c r="K106" s="2"/>
      <c r="L106" s="2"/>
      <c r="M106" s="4"/>
      <c r="N106" s="5"/>
      <c r="O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3"/>
      <c r="J107" s="2"/>
      <c r="K107" s="2"/>
      <c r="L107" s="2"/>
      <c r="M107" s="4"/>
      <c r="N107" s="5"/>
      <c r="O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3"/>
      <c r="J108" s="2"/>
      <c r="K108" s="2"/>
      <c r="L108" s="2"/>
      <c r="M108" s="4"/>
      <c r="N108" s="5"/>
      <c r="O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3"/>
      <c r="J109" s="2"/>
      <c r="K109" s="2"/>
      <c r="L109" s="2"/>
      <c r="M109" s="4"/>
      <c r="N109" s="5"/>
      <c r="O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3"/>
      <c r="J110" s="2"/>
      <c r="K110" s="2"/>
      <c r="L110" s="2"/>
      <c r="M110" s="4"/>
      <c r="N110" s="5"/>
      <c r="O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3"/>
      <c r="J111" s="2"/>
      <c r="K111" s="2"/>
      <c r="L111" s="2"/>
      <c r="M111" s="4"/>
      <c r="N111" s="5"/>
      <c r="O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3"/>
      <c r="J112" s="2"/>
      <c r="K112" s="2"/>
      <c r="L112" s="2"/>
      <c r="M112" s="4"/>
      <c r="N112" s="5"/>
      <c r="O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3"/>
      <c r="J113" s="2"/>
      <c r="K113" s="2"/>
      <c r="L113" s="2"/>
      <c r="M113" s="4"/>
      <c r="N113" s="5"/>
      <c r="O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3"/>
      <c r="J114" s="2"/>
      <c r="K114" s="2"/>
      <c r="L114" s="2"/>
      <c r="M114" s="4"/>
      <c r="N114" s="5"/>
      <c r="O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3"/>
      <c r="J115" s="2"/>
      <c r="K115" s="2"/>
      <c r="L115" s="2"/>
      <c r="M115" s="4"/>
      <c r="N115" s="5"/>
      <c r="O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3"/>
      <c r="J116" s="2"/>
      <c r="K116" s="2"/>
      <c r="L116" s="2"/>
      <c r="M116" s="4"/>
      <c r="N116" s="5"/>
      <c r="O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3"/>
      <c r="J117" s="2"/>
      <c r="K117" s="2"/>
      <c r="L117" s="2"/>
      <c r="M117" s="4"/>
      <c r="N117" s="5"/>
      <c r="O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3"/>
      <c r="J118" s="2"/>
      <c r="K118" s="2"/>
      <c r="L118" s="2"/>
      <c r="M118" s="4"/>
      <c r="N118" s="5"/>
      <c r="O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3"/>
      <c r="J119" s="2"/>
      <c r="K119" s="2"/>
      <c r="L119" s="2"/>
      <c r="M119" s="4"/>
      <c r="N119" s="5"/>
      <c r="O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3"/>
      <c r="J120" s="2"/>
      <c r="K120" s="2"/>
      <c r="L120" s="2"/>
      <c r="M120" s="4"/>
      <c r="N120" s="5"/>
      <c r="O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3"/>
      <c r="J121" s="2"/>
      <c r="K121" s="2"/>
      <c r="L121" s="2"/>
      <c r="M121" s="4"/>
      <c r="N121" s="5"/>
      <c r="O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3"/>
      <c r="J122" s="2"/>
      <c r="K122" s="2"/>
      <c r="L122" s="2"/>
      <c r="M122" s="4"/>
      <c r="N122" s="5"/>
      <c r="O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3"/>
      <c r="J123" s="2"/>
      <c r="K123" s="2"/>
      <c r="L123" s="2"/>
      <c r="M123" s="4"/>
      <c r="N123" s="5"/>
      <c r="O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3"/>
      <c r="J124" s="2"/>
      <c r="K124" s="2"/>
      <c r="L124" s="2"/>
      <c r="M124" s="4"/>
      <c r="N124" s="5"/>
      <c r="O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3"/>
      <c r="J125" s="2"/>
      <c r="K125" s="2"/>
      <c r="L125" s="2"/>
      <c r="M125" s="4"/>
      <c r="N125" s="5"/>
      <c r="O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3"/>
      <c r="J126" s="2"/>
      <c r="K126" s="2"/>
      <c r="L126" s="2"/>
      <c r="M126" s="4"/>
      <c r="N126" s="5"/>
      <c r="O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3"/>
      <c r="J127" s="2"/>
      <c r="K127" s="2"/>
      <c r="L127" s="2"/>
      <c r="M127" s="4"/>
      <c r="N127" s="5"/>
      <c r="O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3"/>
      <c r="J128" s="2"/>
      <c r="K128" s="2"/>
      <c r="L128" s="2"/>
      <c r="M128" s="4"/>
      <c r="N128" s="5"/>
      <c r="O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3"/>
      <c r="J129" s="2"/>
      <c r="K129" s="2"/>
      <c r="L129" s="2"/>
      <c r="M129" s="4"/>
      <c r="N129" s="5"/>
      <c r="O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3"/>
      <c r="J130" s="2"/>
      <c r="K130" s="2"/>
      <c r="L130" s="2"/>
      <c r="M130" s="4"/>
      <c r="N130" s="5"/>
      <c r="O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3"/>
      <c r="J131" s="2"/>
      <c r="K131" s="2"/>
      <c r="L131" s="2"/>
      <c r="M131" s="4"/>
      <c r="N131" s="5"/>
      <c r="O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3"/>
      <c r="J132" s="2"/>
      <c r="K132" s="2"/>
      <c r="L132" s="2"/>
      <c r="M132" s="4"/>
      <c r="N132" s="5"/>
      <c r="O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3"/>
      <c r="J133" s="2"/>
      <c r="K133" s="2"/>
      <c r="L133" s="2"/>
      <c r="M133" s="4"/>
      <c r="N133" s="5"/>
      <c r="O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3"/>
      <c r="J134" s="2"/>
      <c r="K134" s="2"/>
      <c r="L134" s="2"/>
      <c r="M134" s="4"/>
      <c r="N134" s="5"/>
      <c r="O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3"/>
      <c r="J135" s="2"/>
      <c r="K135" s="2"/>
      <c r="L135" s="2"/>
      <c r="M135" s="4"/>
      <c r="N135" s="5"/>
      <c r="O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3"/>
      <c r="J136" s="2"/>
      <c r="K136" s="2"/>
      <c r="L136" s="2"/>
      <c r="M136" s="4"/>
      <c r="N136" s="5"/>
      <c r="O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3"/>
      <c r="J137" s="2"/>
      <c r="K137" s="2"/>
      <c r="L137" s="2"/>
      <c r="M137" s="4"/>
      <c r="N137" s="5"/>
      <c r="O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3"/>
      <c r="J138" s="2"/>
      <c r="K138" s="2"/>
      <c r="L138" s="2"/>
      <c r="M138" s="4"/>
      <c r="N138" s="5"/>
      <c r="O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3"/>
      <c r="J139" s="2"/>
      <c r="K139" s="2"/>
      <c r="L139" s="2"/>
      <c r="M139" s="4"/>
      <c r="N139" s="5"/>
      <c r="O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3"/>
      <c r="J140" s="2"/>
      <c r="K140" s="2"/>
      <c r="L140" s="2"/>
      <c r="M140" s="4"/>
      <c r="N140" s="5"/>
      <c r="O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3"/>
      <c r="J141" s="2"/>
      <c r="K141" s="2"/>
      <c r="L141" s="2"/>
      <c r="M141" s="4"/>
      <c r="N141" s="5"/>
      <c r="O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3"/>
      <c r="J142" s="2"/>
      <c r="K142" s="2"/>
      <c r="L142" s="2"/>
      <c r="M142" s="4"/>
      <c r="N142" s="5"/>
      <c r="O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3"/>
      <c r="J143" s="2"/>
      <c r="K143" s="2"/>
      <c r="L143" s="2"/>
      <c r="M143" s="4"/>
      <c r="N143" s="5"/>
      <c r="O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3"/>
      <c r="J144" s="2"/>
      <c r="K144" s="2"/>
      <c r="L144" s="2"/>
      <c r="M144" s="4"/>
      <c r="N144" s="5"/>
      <c r="O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3"/>
      <c r="J145" s="2"/>
      <c r="K145" s="2"/>
      <c r="L145" s="2"/>
      <c r="M145" s="4"/>
      <c r="N145" s="5"/>
      <c r="O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3"/>
      <c r="J146" s="2"/>
      <c r="K146" s="2"/>
      <c r="L146" s="2"/>
      <c r="M146" s="4"/>
      <c r="N146" s="5"/>
      <c r="O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3"/>
      <c r="J147" s="2"/>
      <c r="K147" s="2"/>
      <c r="L147" s="2"/>
      <c r="M147" s="4"/>
      <c r="N147" s="5"/>
      <c r="O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3"/>
      <c r="J148" s="2"/>
      <c r="K148" s="2"/>
      <c r="L148" s="2"/>
      <c r="M148" s="4"/>
      <c r="N148" s="5"/>
      <c r="O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3"/>
      <c r="J149" s="2"/>
      <c r="K149" s="2"/>
      <c r="L149" s="2"/>
      <c r="M149" s="4"/>
      <c r="N149" s="5"/>
      <c r="O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3"/>
      <c r="J150" s="2"/>
      <c r="K150" s="2"/>
      <c r="L150" s="2"/>
      <c r="M150" s="4"/>
      <c r="N150" s="5"/>
      <c r="O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3"/>
      <c r="J151" s="2"/>
      <c r="K151" s="2"/>
      <c r="L151" s="2"/>
      <c r="M151" s="4"/>
      <c r="N151" s="5"/>
      <c r="O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3"/>
      <c r="J152" s="2"/>
      <c r="K152" s="2"/>
      <c r="L152" s="2"/>
      <c r="M152" s="4"/>
      <c r="N152" s="5"/>
      <c r="O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3"/>
      <c r="J153" s="2"/>
      <c r="K153" s="2"/>
      <c r="L153" s="2"/>
      <c r="M153" s="4"/>
      <c r="N153" s="5"/>
      <c r="O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3"/>
      <c r="J154" s="2"/>
      <c r="K154" s="2"/>
      <c r="L154" s="2"/>
      <c r="M154" s="4"/>
      <c r="N154" s="5"/>
      <c r="O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3"/>
      <c r="J155" s="2"/>
      <c r="K155" s="2"/>
      <c r="L155" s="2"/>
      <c r="M155" s="4"/>
      <c r="N155" s="5"/>
      <c r="O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3"/>
      <c r="J156" s="2"/>
      <c r="K156" s="2"/>
      <c r="L156" s="2"/>
      <c r="M156" s="4"/>
      <c r="N156" s="5"/>
      <c r="O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3"/>
      <c r="J157" s="2"/>
      <c r="K157" s="2"/>
      <c r="L157" s="2"/>
      <c r="M157" s="4"/>
      <c r="N157" s="5"/>
      <c r="O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3"/>
      <c r="J158" s="2"/>
      <c r="K158" s="2"/>
      <c r="L158" s="2"/>
      <c r="M158" s="4"/>
      <c r="N158" s="5"/>
      <c r="O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3"/>
      <c r="J159" s="2"/>
      <c r="K159" s="2"/>
      <c r="L159" s="2"/>
      <c r="M159" s="4"/>
      <c r="N159" s="5"/>
      <c r="O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3"/>
      <c r="J160" s="2"/>
      <c r="K160" s="2"/>
      <c r="L160" s="2"/>
      <c r="M160" s="4"/>
      <c r="N160" s="5"/>
      <c r="O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3"/>
      <c r="J161" s="2"/>
      <c r="K161" s="2"/>
      <c r="L161" s="2"/>
      <c r="M161" s="4"/>
      <c r="N161" s="5"/>
      <c r="O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3"/>
      <c r="J162" s="2"/>
      <c r="K162" s="2"/>
      <c r="L162" s="2"/>
      <c r="M162" s="4"/>
      <c r="N162" s="5"/>
      <c r="O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3"/>
      <c r="J163" s="2"/>
      <c r="K163" s="2"/>
      <c r="L163" s="2"/>
      <c r="M163" s="4"/>
      <c r="N163" s="5"/>
      <c r="O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3"/>
      <c r="J164" s="2"/>
      <c r="K164" s="2"/>
      <c r="L164" s="2"/>
      <c r="M164" s="4"/>
      <c r="N164" s="5"/>
      <c r="O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3"/>
      <c r="J165" s="2"/>
      <c r="K165" s="2"/>
      <c r="L165" s="2"/>
      <c r="M165" s="4"/>
      <c r="N165" s="5"/>
      <c r="O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3"/>
      <c r="J166" s="2"/>
      <c r="K166" s="2"/>
      <c r="L166" s="2"/>
      <c r="M166" s="4"/>
      <c r="N166" s="5"/>
      <c r="O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3"/>
      <c r="J167" s="2"/>
      <c r="K167" s="2"/>
      <c r="L167" s="2"/>
      <c r="M167" s="4"/>
      <c r="N167" s="5"/>
      <c r="O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3"/>
      <c r="J168" s="2"/>
      <c r="K168" s="2"/>
      <c r="L168" s="2"/>
      <c r="M168" s="4"/>
      <c r="N168" s="5"/>
      <c r="O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3"/>
      <c r="J169" s="2"/>
      <c r="K169" s="2"/>
      <c r="L169" s="2"/>
      <c r="M169" s="4"/>
      <c r="N169" s="5"/>
      <c r="O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3"/>
      <c r="J170" s="2"/>
      <c r="K170" s="2"/>
      <c r="L170" s="2"/>
      <c r="M170" s="4"/>
      <c r="N170" s="5"/>
      <c r="O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3"/>
      <c r="J171" s="2"/>
      <c r="K171" s="2"/>
      <c r="L171" s="2"/>
      <c r="M171" s="4"/>
      <c r="N171" s="5"/>
      <c r="O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3"/>
      <c r="J172" s="2"/>
      <c r="K172" s="2"/>
      <c r="L172" s="2"/>
      <c r="M172" s="4"/>
      <c r="N172" s="5"/>
      <c r="O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3"/>
      <c r="J173" s="2"/>
      <c r="K173" s="2"/>
      <c r="L173" s="2"/>
      <c r="M173" s="4"/>
      <c r="N173" s="5"/>
      <c r="O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3"/>
      <c r="J174" s="2"/>
      <c r="K174" s="2"/>
      <c r="L174" s="2"/>
      <c r="M174" s="4"/>
      <c r="N174" s="5"/>
      <c r="O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3"/>
      <c r="J175" s="2"/>
      <c r="K175" s="2"/>
      <c r="L175" s="2"/>
      <c r="M175" s="4"/>
      <c r="N175" s="5"/>
      <c r="O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3"/>
      <c r="J176" s="2"/>
      <c r="K176" s="2"/>
      <c r="L176" s="2"/>
      <c r="M176" s="4"/>
      <c r="N176" s="5"/>
      <c r="O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3"/>
      <c r="J177" s="2"/>
      <c r="K177" s="2"/>
      <c r="L177" s="2"/>
      <c r="M177" s="4"/>
      <c r="N177" s="5"/>
      <c r="O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3"/>
      <c r="J178" s="2"/>
      <c r="K178" s="2"/>
      <c r="L178" s="2"/>
      <c r="M178" s="4"/>
      <c r="N178" s="5"/>
      <c r="O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3"/>
      <c r="J179" s="2"/>
      <c r="K179" s="2"/>
      <c r="L179" s="2"/>
      <c r="M179" s="4"/>
      <c r="N179" s="5"/>
      <c r="O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3"/>
      <c r="J180" s="2"/>
      <c r="K180" s="2"/>
      <c r="L180" s="2"/>
      <c r="M180" s="4"/>
      <c r="N180" s="5"/>
      <c r="O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3"/>
      <c r="J181" s="2"/>
      <c r="K181" s="2"/>
      <c r="L181" s="2"/>
      <c r="M181" s="4"/>
      <c r="N181" s="5"/>
      <c r="O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3"/>
      <c r="J182" s="2"/>
      <c r="K182" s="2"/>
      <c r="L182" s="2"/>
      <c r="M182" s="4"/>
      <c r="N182" s="5"/>
      <c r="O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3"/>
      <c r="J183" s="2"/>
      <c r="K183" s="2"/>
      <c r="L183" s="2"/>
      <c r="M183" s="4"/>
      <c r="N183" s="5"/>
      <c r="O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3"/>
      <c r="J184" s="2"/>
      <c r="K184" s="2"/>
      <c r="L184" s="2"/>
      <c r="M184" s="4"/>
      <c r="N184" s="5"/>
      <c r="O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3"/>
      <c r="J185" s="2"/>
      <c r="K185" s="2"/>
      <c r="L185" s="2"/>
      <c r="M185" s="4"/>
      <c r="N185" s="5"/>
      <c r="O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3"/>
      <c r="J186" s="2"/>
      <c r="K186" s="2"/>
      <c r="L186" s="2"/>
      <c r="M186" s="4"/>
      <c r="N186" s="5"/>
      <c r="O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3"/>
      <c r="J187" s="2"/>
      <c r="K187" s="2"/>
      <c r="L187" s="2"/>
      <c r="M187" s="4"/>
      <c r="N187" s="5"/>
      <c r="O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3"/>
      <c r="J188" s="2"/>
      <c r="K188" s="2"/>
      <c r="L188" s="2"/>
      <c r="M188" s="4"/>
      <c r="N188" s="5"/>
      <c r="O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3"/>
      <c r="J189" s="2"/>
      <c r="K189" s="2"/>
      <c r="L189" s="2"/>
      <c r="M189" s="4"/>
      <c r="N189" s="5"/>
      <c r="O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3"/>
      <c r="J190" s="2"/>
      <c r="K190" s="2"/>
      <c r="L190" s="2"/>
      <c r="M190" s="4"/>
      <c r="N190" s="5"/>
      <c r="O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3"/>
      <c r="J191" s="2"/>
      <c r="K191" s="2"/>
      <c r="L191" s="2"/>
      <c r="M191" s="4"/>
      <c r="N191" s="5"/>
      <c r="O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3"/>
      <c r="J192" s="2"/>
      <c r="K192" s="2"/>
      <c r="L192" s="2"/>
      <c r="M192" s="4"/>
      <c r="N192" s="5"/>
      <c r="O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3"/>
      <c r="J193" s="2"/>
      <c r="K193" s="2"/>
      <c r="L193" s="2"/>
      <c r="M193" s="4"/>
      <c r="N193" s="5"/>
      <c r="O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3"/>
      <c r="J194" s="2"/>
      <c r="K194" s="2"/>
      <c r="L194" s="2"/>
      <c r="M194" s="4"/>
      <c r="N194" s="5"/>
      <c r="O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3"/>
      <c r="J195" s="2"/>
      <c r="K195" s="2"/>
      <c r="L195" s="2"/>
      <c r="M195" s="4"/>
      <c r="N195" s="5"/>
      <c r="O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3"/>
      <c r="J196" s="2"/>
      <c r="K196" s="2"/>
      <c r="L196" s="2"/>
      <c r="M196" s="4"/>
      <c r="N196" s="5"/>
      <c r="O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3"/>
      <c r="J197" s="2"/>
      <c r="K197" s="2"/>
      <c r="L197" s="2"/>
      <c r="M197" s="4"/>
      <c r="N197" s="5"/>
      <c r="O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3"/>
      <c r="J198" s="2"/>
      <c r="K198" s="2"/>
      <c r="L198" s="2"/>
      <c r="M198" s="4"/>
      <c r="N198" s="5"/>
      <c r="O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3"/>
      <c r="J199" s="2"/>
      <c r="K199" s="2"/>
      <c r="L199" s="2"/>
      <c r="M199" s="4"/>
      <c r="N199" s="5"/>
      <c r="O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3"/>
      <c r="J200" s="2"/>
      <c r="K200" s="2"/>
      <c r="L200" s="2"/>
      <c r="M200" s="4"/>
      <c r="N200" s="5"/>
      <c r="O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3"/>
      <c r="J201" s="2"/>
      <c r="K201" s="2"/>
      <c r="L201" s="2"/>
      <c r="M201" s="4"/>
      <c r="N201" s="5"/>
      <c r="O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3"/>
      <c r="J202" s="2"/>
      <c r="K202" s="2"/>
      <c r="L202" s="2"/>
      <c r="M202" s="4"/>
      <c r="N202" s="5"/>
      <c r="O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3"/>
      <c r="J203" s="2"/>
      <c r="K203" s="2"/>
      <c r="L203" s="2"/>
      <c r="M203" s="4"/>
      <c r="N203" s="5"/>
      <c r="O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3"/>
      <c r="J204" s="2"/>
      <c r="K204" s="2"/>
      <c r="L204" s="2"/>
      <c r="M204" s="4"/>
      <c r="N204" s="5"/>
      <c r="O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3"/>
      <c r="J205" s="2"/>
      <c r="K205" s="2"/>
      <c r="L205" s="2"/>
      <c r="M205" s="4"/>
      <c r="N205" s="5"/>
      <c r="O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3"/>
      <c r="J206" s="2"/>
      <c r="K206" s="2"/>
      <c r="L206" s="2"/>
      <c r="M206" s="4"/>
      <c r="N206" s="5"/>
      <c r="O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3"/>
      <c r="J207" s="2"/>
      <c r="K207" s="2"/>
      <c r="L207" s="2"/>
      <c r="M207" s="4"/>
      <c r="N207" s="5"/>
      <c r="O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3"/>
      <c r="J208" s="2"/>
      <c r="K208" s="2"/>
      <c r="L208" s="2"/>
      <c r="M208" s="4"/>
      <c r="N208" s="5"/>
      <c r="O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3"/>
      <c r="J209" s="2"/>
      <c r="K209" s="2"/>
      <c r="L209" s="2"/>
      <c r="M209" s="4"/>
      <c r="N209" s="5"/>
      <c r="O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3"/>
      <c r="J210" s="2"/>
      <c r="K210" s="2"/>
      <c r="L210" s="2"/>
      <c r="M210" s="4"/>
      <c r="N210" s="5"/>
      <c r="O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3"/>
      <c r="J211" s="2"/>
      <c r="K211" s="2"/>
      <c r="L211" s="2"/>
      <c r="M211" s="4"/>
      <c r="N211" s="5"/>
      <c r="O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3"/>
      <c r="J212" s="2"/>
      <c r="K212" s="2"/>
      <c r="L212" s="2"/>
      <c r="M212" s="4"/>
      <c r="N212" s="5"/>
      <c r="O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3"/>
      <c r="J213" s="2"/>
      <c r="K213" s="2"/>
      <c r="L213" s="2"/>
      <c r="M213" s="4"/>
      <c r="N213" s="5"/>
      <c r="O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3"/>
      <c r="J214" s="2"/>
      <c r="K214" s="2"/>
      <c r="L214" s="2"/>
      <c r="M214" s="4"/>
      <c r="N214" s="5"/>
      <c r="O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3"/>
      <c r="J215" s="2"/>
      <c r="K215" s="2"/>
      <c r="L215" s="2"/>
      <c r="M215" s="4"/>
      <c r="N215" s="5"/>
      <c r="O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3"/>
      <c r="J216" s="2"/>
      <c r="K216" s="2"/>
      <c r="L216" s="2"/>
      <c r="M216" s="4"/>
      <c r="N216" s="5"/>
      <c r="O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3"/>
      <c r="J217" s="2"/>
      <c r="K217" s="2"/>
      <c r="L217" s="2"/>
      <c r="M217" s="4"/>
      <c r="N217" s="5"/>
      <c r="O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3"/>
      <c r="J218" s="2"/>
      <c r="K218" s="2"/>
      <c r="L218" s="2"/>
      <c r="M218" s="4"/>
      <c r="N218" s="5"/>
      <c r="O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3"/>
      <c r="J219" s="2"/>
      <c r="K219" s="2"/>
      <c r="L219" s="2"/>
      <c r="M219" s="4"/>
      <c r="N219" s="5"/>
      <c r="O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3"/>
      <c r="J220" s="2"/>
      <c r="K220" s="2"/>
      <c r="L220" s="2"/>
      <c r="M220" s="4"/>
      <c r="N220" s="5"/>
      <c r="O220" s="2"/>
    </row>
    <row r="221" ht="15.75" customHeight="1">
      <c r="E221" s="11"/>
      <c r="G221" s="11"/>
      <c r="H221" s="11"/>
      <c r="L221" s="11"/>
    </row>
    <row r="222" ht="15.75" customHeight="1">
      <c r="E222" s="11"/>
      <c r="G222" s="11"/>
      <c r="H222" s="11"/>
      <c r="L222" s="11"/>
    </row>
    <row r="223" ht="15.75" customHeight="1">
      <c r="E223" s="11"/>
      <c r="G223" s="11"/>
      <c r="H223" s="11"/>
      <c r="L223" s="11"/>
    </row>
    <row r="224" ht="15.75" customHeight="1">
      <c r="E224" s="11"/>
      <c r="G224" s="11"/>
      <c r="H224" s="11"/>
      <c r="L224" s="11"/>
    </row>
    <row r="225" ht="15.75" customHeight="1">
      <c r="E225" s="11"/>
      <c r="G225" s="11"/>
      <c r="H225" s="11"/>
      <c r="L225" s="11"/>
    </row>
    <row r="226" ht="15.75" customHeight="1">
      <c r="E226" s="11"/>
      <c r="G226" s="11"/>
      <c r="H226" s="11"/>
      <c r="L226" s="11"/>
    </row>
    <row r="227" ht="15.75" customHeight="1">
      <c r="E227" s="11"/>
      <c r="G227" s="11"/>
      <c r="H227" s="11"/>
      <c r="L227" s="11"/>
    </row>
    <row r="228" ht="15.75" customHeight="1">
      <c r="E228" s="11"/>
      <c r="G228" s="11"/>
      <c r="H228" s="11"/>
      <c r="L228" s="11"/>
    </row>
    <row r="229" ht="15.75" customHeight="1">
      <c r="E229" s="11"/>
      <c r="G229" s="11"/>
      <c r="H229" s="11"/>
      <c r="L229" s="11"/>
    </row>
    <row r="230" ht="15.75" customHeight="1">
      <c r="E230" s="11"/>
      <c r="G230" s="11"/>
      <c r="H230" s="11"/>
      <c r="L230" s="11"/>
    </row>
    <row r="231" ht="15.75" customHeight="1">
      <c r="E231" s="11"/>
      <c r="G231" s="11"/>
      <c r="H231" s="11"/>
      <c r="L231" s="11"/>
    </row>
    <row r="232" ht="15.75" customHeight="1">
      <c r="E232" s="11"/>
      <c r="G232" s="11"/>
      <c r="H232" s="11"/>
      <c r="L232" s="11"/>
    </row>
    <row r="233" ht="15.75" customHeight="1">
      <c r="E233" s="11"/>
      <c r="G233" s="11"/>
      <c r="H233" s="11"/>
      <c r="L233" s="11"/>
    </row>
    <row r="234" ht="15.75" customHeight="1">
      <c r="E234" s="11"/>
      <c r="G234" s="11"/>
      <c r="H234" s="11"/>
      <c r="L234" s="11"/>
    </row>
    <row r="235" ht="15.75" customHeight="1">
      <c r="E235" s="11"/>
      <c r="G235" s="11"/>
      <c r="H235" s="11"/>
      <c r="L235" s="11"/>
    </row>
    <row r="236" ht="15.75" customHeight="1">
      <c r="E236" s="11"/>
      <c r="G236" s="11"/>
      <c r="H236" s="11"/>
      <c r="L236" s="11"/>
    </row>
    <row r="237" ht="15.75" customHeight="1">
      <c r="E237" s="11"/>
      <c r="G237" s="11"/>
      <c r="H237" s="11"/>
      <c r="L237" s="11"/>
    </row>
    <row r="238" ht="15.75" customHeight="1">
      <c r="E238" s="11"/>
      <c r="G238" s="11"/>
      <c r="H238" s="11"/>
      <c r="L238" s="11"/>
    </row>
    <row r="239" ht="15.75" customHeight="1">
      <c r="E239" s="11"/>
      <c r="G239" s="11"/>
      <c r="H239" s="11"/>
      <c r="L239" s="11"/>
    </row>
    <row r="240" ht="15.75" customHeight="1">
      <c r="E240" s="11"/>
      <c r="G240" s="11"/>
      <c r="H240" s="11"/>
      <c r="L240" s="11"/>
    </row>
    <row r="241" ht="15.75" customHeight="1">
      <c r="E241" s="11"/>
      <c r="G241" s="11"/>
      <c r="H241" s="11"/>
      <c r="L241" s="11"/>
    </row>
    <row r="242" ht="15.75" customHeight="1">
      <c r="E242" s="11"/>
      <c r="G242" s="11"/>
      <c r="H242" s="11"/>
      <c r="L242" s="11"/>
    </row>
    <row r="243" ht="15.75" customHeight="1">
      <c r="E243" s="11"/>
      <c r="G243" s="11"/>
      <c r="H243" s="11"/>
      <c r="L243" s="11"/>
    </row>
    <row r="244" ht="15.75" customHeight="1">
      <c r="E244" s="11"/>
      <c r="G244" s="11"/>
      <c r="H244" s="11"/>
      <c r="L244" s="11"/>
    </row>
    <row r="245" ht="15.75" customHeight="1">
      <c r="E245" s="11"/>
      <c r="G245" s="11"/>
      <c r="H245" s="11"/>
      <c r="L245" s="11"/>
    </row>
    <row r="246" ht="15.75" customHeight="1">
      <c r="E246" s="11"/>
      <c r="G246" s="11"/>
      <c r="H246" s="11"/>
      <c r="L246" s="11"/>
    </row>
    <row r="247" ht="15.75" customHeight="1">
      <c r="E247" s="11"/>
      <c r="G247" s="11"/>
      <c r="H247" s="11"/>
      <c r="L247" s="11"/>
    </row>
    <row r="248" ht="15.75" customHeight="1">
      <c r="E248" s="11"/>
      <c r="G248" s="11"/>
      <c r="H248" s="11"/>
      <c r="L248" s="11"/>
    </row>
    <row r="249" ht="15.75" customHeight="1">
      <c r="E249" s="11"/>
      <c r="G249" s="11"/>
      <c r="H249" s="11"/>
      <c r="L249" s="11"/>
    </row>
    <row r="250" ht="15.75" customHeight="1">
      <c r="E250" s="11"/>
      <c r="G250" s="11"/>
      <c r="H250" s="11"/>
      <c r="L250" s="11"/>
    </row>
    <row r="251" ht="15.75" customHeight="1">
      <c r="E251" s="11"/>
      <c r="G251" s="11"/>
      <c r="H251" s="11"/>
      <c r="L251" s="11"/>
    </row>
    <row r="252" ht="15.75" customHeight="1">
      <c r="E252" s="11"/>
      <c r="G252" s="11"/>
      <c r="H252" s="11"/>
      <c r="L252" s="11"/>
    </row>
    <row r="253" ht="15.75" customHeight="1">
      <c r="E253" s="11"/>
      <c r="G253" s="11"/>
      <c r="H253" s="11"/>
      <c r="L253" s="11"/>
    </row>
    <row r="254" ht="15.75" customHeight="1">
      <c r="E254" s="11"/>
      <c r="G254" s="11"/>
      <c r="H254" s="11"/>
      <c r="L254" s="11"/>
    </row>
    <row r="255" ht="15.75" customHeight="1">
      <c r="E255" s="11"/>
      <c r="G255" s="11"/>
      <c r="H255" s="11"/>
      <c r="L255" s="11"/>
    </row>
    <row r="256" ht="15.75" customHeight="1">
      <c r="E256" s="11"/>
      <c r="G256" s="11"/>
      <c r="H256" s="11"/>
      <c r="L256" s="11"/>
    </row>
    <row r="257" ht="15.75" customHeight="1">
      <c r="E257" s="11"/>
      <c r="G257" s="11"/>
      <c r="H257" s="11"/>
      <c r="L257" s="11"/>
    </row>
    <row r="258" ht="15.75" customHeight="1">
      <c r="E258" s="11"/>
      <c r="G258" s="11"/>
      <c r="H258" s="11"/>
      <c r="L258" s="11"/>
    </row>
    <row r="259" ht="15.75" customHeight="1">
      <c r="E259" s="11"/>
      <c r="G259" s="11"/>
      <c r="H259" s="11"/>
      <c r="L259" s="11"/>
    </row>
    <row r="260" ht="15.75" customHeight="1">
      <c r="E260" s="11"/>
      <c r="G260" s="11"/>
      <c r="H260" s="11"/>
      <c r="L260" s="11"/>
    </row>
    <row r="261" ht="15.75" customHeight="1">
      <c r="E261" s="11"/>
      <c r="G261" s="11"/>
      <c r="H261" s="11"/>
      <c r="L261" s="11"/>
    </row>
    <row r="262" ht="15.75" customHeight="1">
      <c r="E262" s="11"/>
      <c r="G262" s="11"/>
      <c r="H262" s="11"/>
      <c r="L262" s="11"/>
    </row>
    <row r="263" ht="15.75" customHeight="1">
      <c r="E263" s="11"/>
      <c r="G263" s="11"/>
      <c r="H263" s="11"/>
      <c r="L263" s="11"/>
    </row>
    <row r="264" ht="15.75" customHeight="1">
      <c r="E264" s="11"/>
      <c r="G264" s="11"/>
      <c r="H264" s="11"/>
      <c r="L264" s="11"/>
    </row>
    <row r="265" ht="15.75" customHeight="1">
      <c r="E265" s="11"/>
      <c r="G265" s="11"/>
      <c r="H265" s="11"/>
      <c r="L265" s="11"/>
    </row>
    <row r="266" ht="15.75" customHeight="1">
      <c r="E266" s="11"/>
      <c r="G266" s="11"/>
      <c r="H266" s="11"/>
      <c r="L266" s="11"/>
    </row>
    <row r="267" ht="15.75" customHeight="1">
      <c r="E267" s="11"/>
      <c r="G267" s="11"/>
      <c r="H267" s="11"/>
      <c r="L267" s="11"/>
    </row>
    <row r="268" ht="15.75" customHeight="1">
      <c r="E268" s="11"/>
      <c r="G268" s="11"/>
      <c r="H268" s="11"/>
      <c r="L268" s="11"/>
    </row>
    <row r="269" ht="15.75" customHeight="1">
      <c r="E269" s="11"/>
      <c r="G269" s="11"/>
      <c r="H269" s="11"/>
      <c r="L269" s="11"/>
    </row>
    <row r="270" ht="15.75" customHeight="1">
      <c r="E270" s="11"/>
      <c r="G270" s="11"/>
      <c r="H270" s="11"/>
      <c r="L270" s="11"/>
    </row>
    <row r="271" ht="15.75" customHeight="1">
      <c r="E271" s="11"/>
      <c r="G271" s="11"/>
      <c r="H271" s="11"/>
      <c r="L271" s="11"/>
    </row>
    <row r="272" ht="15.75" customHeight="1">
      <c r="E272" s="11"/>
      <c r="G272" s="11"/>
      <c r="H272" s="11"/>
      <c r="L272" s="11"/>
    </row>
    <row r="273" ht="15.75" customHeight="1">
      <c r="E273" s="11"/>
      <c r="G273" s="11"/>
      <c r="H273" s="11"/>
      <c r="L273" s="11"/>
    </row>
    <row r="274" ht="15.75" customHeight="1">
      <c r="E274" s="11"/>
      <c r="G274" s="11"/>
      <c r="H274" s="11"/>
      <c r="L274" s="11"/>
    </row>
    <row r="275" ht="15.75" customHeight="1">
      <c r="E275" s="11"/>
      <c r="G275" s="11"/>
      <c r="H275" s="11"/>
      <c r="L275" s="11"/>
    </row>
    <row r="276" ht="15.75" customHeight="1">
      <c r="E276" s="11"/>
      <c r="G276" s="11"/>
      <c r="H276" s="11"/>
      <c r="L276" s="11"/>
    </row>
    <row r="277" ht="15.75" customHeight="1">
      <c r="E277" s="11"/>
      <c r="G277" s="11"/>
      <c r="H277" s="11"/>
      <c r="L277" s="11"/>
    </row>
    <row r="278" ht="15.75" customHeight="1">
      <c r="E278" s="11"/>
      <c r="G278" s="11"/>
      <c r="H278" s="11"/>
      <c r="L278" s="11"/>
    </row>
    <row r="279" ht="15.75" customHeight="1">
      <c r="E279" s="11"/>
      <c r="G279" s="11"/>
      <c r="H279" s="11"/>
      <c r="L279" s="11"/>
    </row>
    <row r="280" ht="15.75" customHeight="1">
      <c r="E280" s="11"/>
      <c r="G280" s="11"/>
      <c r="H280" s="11"/>
      <c r="L280" s="11"/>
    </row>
    <row r="281" ht="15.75" customHeight="1">
      <c r="E281" s="11"/>
      <c r="G281" s="11"/>
      <c r="H281" s="11"/>
      <c r="L281" s="11"/>
    </row>
    <row r="282" ht="15.75" customHeight="1">
      <c r="E282" s="11"/>
      <c r="G282" s="11"/>
      <c r="H282" s="11"/>
      <c r="L282" s="11"/>
    </row>
    <row r="283" ht="15.75" customHeight="1">
      <c r="E283" s="11"/>
      <c r="G283" s="11"/>
      <c r="H283" s="11"/>
      <c r="L283" s="11"/>
    </row>
    <row r="284" ht="15.75" customHeight="1">
      <c r="E284" s="11"/>
      <c r="G284" s="11"/>
      <c r="H284" s="11"/>
      <c r="L284" s="11"/>
    </row>
    <row r="285" ht="15.75" customHeight="1">
      <c r="E285" s="11"/>
      <c r="G285" s="11"/>
      <c r="H285" s="11"/>
      <c r="L285" s="11"/>
    </row>
    <row r="286" ht="15.75" customHeight="1">
      <c r="E286" s="11"/>
      <c r="G286" s="11"/>
      <c r="H286" s="11"/>
      <c r="L286" s="11"/>
    </row>
    <row r="287" ht="15.75" customHeight="1">
      <c r="E287" s="11"/>
      <c r="G287" s="11"/>
      <c r="H287" s="11"/>
      <c r="L287" s="11"/>
    </row>
    <row r="288" ht="15.75" customHeight="1">
      <c r="E288" s="11"/>
      <c r="G288" s="11"/>
      <c r="H288" s="11"/>
      <c r="L288" s="11"/>
    </row>
    <row r="289" ht="15.75" customHeight="1">
      <c r="E289" s="11"/>
      <c r="G289" s="11"/>
      <c r="H289" s="11"/>
      <c r="L289" s="11"/>
    </row>
    <row r="290" ht="15.75" customHeight="1">
      <c r="E290" s="11"/>
      <c r="G290" s="11"/>
      <c r="H290" s="11"/>
      <c r="L290" s="11"/>
    </row>
    <row r="291" ht="15.75" customHeight="1">
      <c r="E291" s="11"/>
      <c r="G291" s="11"/>
      <c r="H291" s="11"/>
      <c r="L291" s="11"/>
    </row>
    <row r="292" ht="15.75" customHeight="1">
      <c r="E292" s="11"/>
      <c r="G292" s="11"/>
      <c r="H292" s="11"/>
      <c r="L292" s="11"/>
    </row>
    <row r="293" ht="15.75" customHeight="1">
      <c r="E293" s="11"/>
      <c r="G293" s="11"/>
      <c r="H293" s="11"/>
      <c r="L293" s="11"/>
    </row>
    <row r="294" ht="15.75" customHeight="1">
      <c r="E294" s="11"/>
      <c r="G294" s="11"/>
      <c r="H294" s="11"/>
      <c r="L294" s="11"/>
    </row>
    <row r="295" ht="15.75" customHeight="1">
      <c r="E295" s="11"/>
      <c r="G295" s="11"/>
      <c r="H295" s="11"/>
      <c r="L295" s="11"/>
    </row>
    <row r="296" ht="15.75" customHeight="1">
      <c r="E296" s="11"/>
      <c r="G296" s="11"/>
      <c r="H296" s="11"/>
      <c r="L296" s="11"/>
    </row>
    <row r="297" ht="15.75" customHeight="1">
      <c r="E297" s="11"/>
      <c r="G297" s="11"/>
      <c r="H297" s="11"/>
      <c r="L297" s="11"/>
    </row>
    <row r="298" ht="15.75" customHeight="1">
      <c r="E298" s="11"/>
      <c r="G298" s="11"/>
      <c r="H298" s="11"/>
      <c r="L298" s="11"/>
    </row>
    <row r="299" ht="15.75" customHeight="1">
      <c r="E299" s="11"/>
      <c r="G299" s="11"/>
      <c r="H299" s="11"/>
      <c r="L299" s="11"/>
    </row>
    <row r="300" ht="15.75" customHeight="1">
      <c r="E300" s="11"/>
      <c r="G300" s="11"/>
      <c r="H300" s="11"/>
      <c r="L300" s="11"/>
    </row>
    <row r="301" ht="15.75" customHeight="1">
      <c r="E301" s="11"/>
      <c r="G301" s="11"/>
      <c r="H301" s="11"/>
      <c r="L301" s="11"/>
    </row>
    <row r="302" ht="15.75" customHeight="1">
      <c r="E302" s="11"/>
      <c r="G302" s="11"/>
      <c r="H302" s="11"/>
      <c r="L302" s="11"/>
    </row>
    <row r="303" ht="15.75" customHeight="1">
      <c r="E303" s="11"/>
      <c r="G303" s="11"/>
      <c r="H303" s="11"/>
      <c r="L303" s="11"/>
    </row>
    <row r="304" ht="15.75" customHeight="1">
      <c r="E304" s="11"/>
      <c r="G304" s="11"/>
      <c r="H304" s="11"/>
      <c r="L304" s="11"/>
    </row>
    <row r="305" ht="15.75" customHeight="1">
      <c r="E305" s="11"/>
      <c r="G305" s="11"/>
      <c r="H305" s="11"/>
      <c r="L305" s="11"/>
    </row>
    <row r="306" ht="15.75" customHeight="1">
      <c r="E306" s="11"/>
      <c r="G306" s="11"/>
      <c r="H306" s="11"/>
      <c r="L306" s="11"/>
    </row>
    <row r="307" ht="15.75" customHeight="1">
      <c r="E307" s="11"/>
      <c r="G307" s="11"/>
      <c r="H307" s="11"/>
      <c r="L307" s="11"/>
    </row>
    <row r="308" ht="15.75" customHeight="1">
      <c r="E308" s="11"/>
      <c r="G308" s="11"/>
      <c r="H308" s="11"/>
      <c r="L308" s="11"/>
    </row>
    <row r="309" ht="15.75" customHeight="1">
      <c r="E309" s="11"/>
      <c r="G309" s="11"/>
      <c r="H309" s="11"/>
      <c r="L309" s="11"/>
    </row>
    <row r="310" ht="15.75" customHeight="1">
      <c r="E310" s="11"/>
      <c r="G310" s="11"/>
      <c r="H310" s="11"/>
      <c r="L310" s="11"/>
    </row>
    <row r="311" ht="15.75" customHeight="1">
      <c r="E311" s="11"/>
      <c r="G311" s="11"/>
      <c r="H311" s="11"/>
      <c r="L311" s="11"/>
    </row>
    <row r="312" ht="15.75" customHeight="1">
      <c r="E312" s="11"/>
      <c r="G312" s="11"/>
      <c r="H312" s="11"/>
      <c r="L312" s="11"/>
    </row>
    <row r="313" ht="15.75" customHeight="1">
      <c r="E313" s="11"/>
      <c r="G313" s="11"/>
      <c r="H313" s="11"/>
      <c r="L313" s="11"/>
    </row>
    <row r="314" ht="15.75" customHeight="1">
      <c r="E314" s="11"/>
      <c r="G314" s="11"/>
      <c r="H314" s="11"/>
      <c r="L314" s="11"/>
    </row>
    <row r="315" ht="15.75" customHeight="1">
      <c r="E315" s="11"/>
      <c r="G315" s="11"/>
      <c r="H315" s="11"/>
      <c r="L315" s="11"/>
    </row>
    <row r="316" ht="15.75" customHeight="1">
      <c r="E316" s="11"/>
      <c r="G316" s="11"/>
      <c r="H316" s="11"/>
      <c r="L316" s="11"/>
    </row>
    <row r="317" ht="15.75" customHeight="1">
      <c r="E317" s="11"/>
      <c r="G317" s="11"/>
      <c r="H317" s="11"/>
      <c r="L317" s="11"/>
    </row>
    <row r="318" ht="15.75" customHeight="1">
      <c r="E318" s="11"/>
      <c r="G318" s="11"/>
      <c r="H318" s="11"/>
      <c r="L318" s="11"/>
    </row>
    <row r="319" ht="15.75" customHeight="1">
      <c r="E319" s="11"/>
      <c r="G319" s="11"/>
      <c r="H319" s="11"/>
      <c r="L319" s="11"/>
    </row>
    <row r="320" ht="15.75" customHeight="1">
      <c r="E320" s="11"/>
      <c r="G320" s="11"/>
      <c r="H320" s="11"/>
      <c r="L320" s="11"/>
    </row>
    <row r="321" ht="15.75" customHeight="1">
      <c r="E321" s="11"/>
      <c r="G321" s="11"/>
      <c r="H321" s="11"/>
      <c r="L321" s="11"/>
    </row>
    <row r="322" ht="15.75" customHeight="1">
      <c r="E322" s="11"/>
      <c r="G322" s="11"/>
      <c r="H322" s="11"/>
      <c r="L322" s="11"/>
    </row>
    <row r="323" ht="15.75" customHeight="1">
      <c r="E323" s="11"/>
      <c r="G323" s="11"/>
      <c r="H323" s="11"/>
      <c r="L323" s="11"/>
    </row>
    <row r="324" ht="15.75" customHeight="1">
      <c r="E324" s="11"/>
      <c r="G324" s="11"/>
      <c r="H324" s="11"/>
      <c r="L324" s="11"/>
    </row>
    <row r="325" ht="15.75" customHeight="1">
      <c r="E325" s="11"/>
      <c r="G325" s="11"/>
      <c r="H325" s="11"/>
      <c r="L325" s="11"/>
    </row>
    <row r="326" ht="15.75" customHeight="1">
      <c r="E326" s="11"/>
      <c r="G326" s="11"/>
      <c r="H326" s="11"/>
      <c r="L326" s="11"/>
    </row>
    <row r="327" ht="15.75" customHeight="1">
      <c r="E327" s="11"/>
      <c r="G327" s="11"/>
      <c r="H327" s="11"/>
      <c r="L327" s="11"/>
    </row>
    <row r="328" ht="15.75" customHeight="1">
      <c r="E328" s="11"/>
      <c r="G328" s="11"/>
      <c r="H328" s="11"/>
      <c r="L328" s="11"/>
    </row>
    <row r="329" ht="15.75" customHeight="1">
      <c r="E329" s="11"/>
      <c r="G329" s="11"/>
      <c r="H329" s="11"/>
      <c r="L329" s="11"/>
    </row>
    <row r="330" ht="15.75" customHeight="1">
      <c r="E330" s="11"/>
      <c r="G330" s="11"/>
      <c r="H330" s="11"/>
      <c r="L330" s="11"/>
    </row>
    <row r="331" ht="15.75" customHeight="1">
      <c r="E331" s="11"/>
      <c r="G331" s="11"/>
      <c r="H331" s="11"/>
      <c r="L331" s="11"/>
    </row>
    <row r="332" ht="15.75" customHeight="1">
      <c r="E332" s="11"/>
      <c r="G332" s="11"/>
      <c r="H332" s="11"/>
      <c r="L332" s="11"/>
    </row>
    <row r="333" ht="15.75" customHeight="1">
      <c r="E333" s="11"/>
      <c r="G333" s="11"/>
      <c r="H333" s="11"/>
      <c r="L333" s="11"/>
    </row>
    <row r="334" ht="15.75" customHeight="1">
      <c r="E334" s="11"/>
      <c r="G334" s="11"/>
      <c r="H334" s="11"/>
      <c r="L334" s="11"/>
    </row>
    <row r="335" ht="15.75" customHeight="1">
      <c r="E335" s="11"/>
      <c r="G335" s="11"/>
      <c r="H335" s="11"/>
      <c r="L335" s="11"/>
    </row>
    <row r="336" ht="15.75" customHeight="1">
      <c r="E336" s="11"/>
      <c r="G336" s="11"/>
      <c r="H336" s="11"/>
      <c r="L336" s="11"/>
    </row>
    <row r="337" ht="15.75" customHeight="1">
      <c r="E337" s="11"/>
      <c r="G337" s="11"/>
      <c r="H337" s="11"/>
      <c r="L337" s="11"/>
    </row>
    <row r="338" ht="15.75" customHeight="1">
      <c r="E338" s="11"/>
      <c r="G338" s="11"/>
      <c r="H338" s="11"/>
      <c r="L338" s="11"/>
    </row>
    <row r="339" ht="15.75" customHeight="1">
      <c r="E339" s="11"/>
      <c r="G339" s="11"/>
      <c r="H339" s="11"/>
      <c r="L339" s="11"/>
    </row>
    <row r="340" ht="15.75" customHeight="1">
      <c r="E340" s="11"/>
      <c r="G340" s="11"/>
      <c r="H340" s="11"/>
      <c r="L340" s="11"/>
    </row>
    <row r="341" ht="15.75" customHeight="1">
      <c r="E341" s="11"/>
      <c r="G341" s="11"/>
      <c r="H341" s="11"/>
      <c r="L341" s="11"/>
    </row>
    <row r="342" ht="15.75" customHeight="1">
      <c r="E342" s="11"/>
      <c r="G342" s="11"/>
      <c r="H342" s="11"/>
      <c r="L342" s="11"/>
    </row>
    <row r="343" ht="15.75" customHeight="1">
      <c r="E343" s="11"/>
      <c r="G343" s="11"/>
      <c r="H343" s="11"/>
      <c r="L343" s="11"/>
    </row>
    <row r="344" ht="15.75" customHeight="1">
      <c r="E344" s="11"/>
      <c r="G344" s="11"/>
      <c r="H344" s="11"/>
      <c r="L344" s="11"/>
    </row>
    <row r="345" ht="15.75" customHeight="1">
      <c r="E345" s="11"/>
      <c r="G345" s="11"/>
      <c r="H345" s="11"/>
      <c r="L345" s="11"/>
    </row>
    <row r="346" ht="15.75" customHeight="1">
      <c r="E346" s="11"/>
      <c r="G346" s="11"/>
      <c r="H346" s="11"/>
      <c r="L346" s="11"/>
    </row>
    <row r="347" ht="15.75" customHeight="1">
      <c r="E347" s="11"/>
      <c r="G347" s="11"/>
      <c r="H347" s="11"/>
      <c r="L347" s="11"/>
    </row>
    <row r="348" ht="15.75" customHeight="1">
      <c r="E348" s="11"/>
      <c r="G348" s="11"/>
      <c r="H348" s="11"/>
      <c r="L348" s="11"/>
    </row>
    <row r="349" ht="15.75" customHeight="1">
      <c r="E349" s="11"/>
      <c r="G349" s="11"/>
      <c r="H349" s="11"/>
      <c r="L349" s="11"/>
    </row>
    <row r="350" ht="15.75" customHeight="1">
      <c r="E350" s="11"/>
      <c r="G350" s="11"/>
      <c r="H350" s="11"/>
      <c r="L350" s="11"/>
    </row>
    <row r="351" ht="15.75" customHeight="1">
      <c r="E351" s="11"/>
      <c r="G351" s="11"/>
      <c r="H351" s="11"/>
      <c r="L351" s="11"/>
    </row>
    <row r="352" ht="15.75" customHeight="1">
      <c r="E352" s="11"/>
      <c r="G352" s="11"/>
      <c r="H352" s="11"/>
      <c r="L352" s="11"/>
    </row>
    <row r="353" ht="15.75" customHeight="1">
      <c r="E353" s="11"/>
      <c r="G353" s="11"/>
      <c r="H353" s="11"/>
      <c r="L353" s="11"/>
    </row>
    <row r="354" ht="15.75" customHeight="1">
      <c r="E354" s="11"/>
      <c r="G354" s="11"/>
      <c r="H354" s="11"/>
      <c r="L354" s="11"/>
    </row>
    <row r="355" ht="15.75" customHeight="1">
      <c r="E355" s="11"/>
      <c r="G355" s="11"/>
      <c r="H355" s="11"/>
      <c r="L355" s="11"/>
    </row>
    <row r="356" ht="15.75" customHeight="1">
      <c r="E356" s="11"/>
      <c r="G356" s="11"/>
      <c r="H356" s="11"/>
      <c r="L356" s="11"/>
    </row>
    <row r="357" ht="15.75" customHeight="1">
      <c r="E357" s="11"/>
      <c r="G357" s="11"/>
      <c r="H357" s="11"/>
      <c r="L357" s="11"/>
    </row>
    <row r="358" ht="15.75" customHeight="1">
      <c r="E358" s="11"/>
      <c r="G358" s="11"/>
      <c r="H358" s="11"/>
      <c r="L358" s="11"/>
    </row>
    <row r="359" ht="15.75" customHeight="1">
      <c r="E359" s="11"/>
      <c r="G359" s="11"/>
      <c r="H359" s="11"/>
      <c r="L359" s="11"/>
    </row>
    <row r="360" ht="15.75" customHeight="1">
      <c r="E360" s="11"/>
      <c r="G360" s="11"/>
      <c r="H360" s="11"/>
      <c r="L360" s="11"/>
    </row>
    <row r="361" ht="15.75" customHeight="1">
      <c r="E361" s="11"/>
      <c r="G361" s="11"/>
      <c r="H361" s="11"/>
      <c r="L361" s="11"/>
    </row>
    <row r="362" ht="15.75" customHeight="1">
      <c r="E362" s="11"/>
      <c r="G362" s="11"/>
      <c r="H362" s="11"/>
      <c r="L362" s="11"/>
    </row>
    <row r="363" ht="15.75" customHeight="1">
      <c r="E363" s="11"/>
      <c r="G363" s="11"/>
      <c r="H363" s="11"/>
      <c r="L363" s="11"/>
    </row>
    <row r="364" ht="15.75" customHeight="1">
      <c r="E364" s="11"/>
      <c r="G364" s="11"/>
      <c r="H364" s="11"/>
      <c r="L364" s="11"/>
    </row>
    <row r="365" ht="15.75" customHeight="1">
      <c r="E365" s="11"/>
      <c r="G365" s="11"/>
      <c r="H365" s="11"/>
      <c r="L365" s="11"/>
    </row>
    <row r="366" ht="15.75" customHeight="1">
      <c r="E366" s="11"/>
      <c r="G366" s="11"/>
      <c r="H366" s="11"/>
      <c r="L366" s="11"/>
    </row>
    <row r="367" ht="15.75" customHeight="1">
      <c r="E367" s="11"/>
      <c r="G367" s="11"/>
      <c r="H367" s="11"/>
      <c r="L367" s="11"/>
    </row>
    <row r="368" ht="15.75" customHeight="1">
      <c r="E368" s="11"/>
      <c r="G368" s="11"/>
      <c r="H368" s="11"/>
      <c r="L368" s="11"/>
    </row>
    <row r="369" ht="15.75" customHeight="1">
      <c r="E369" s="11"/>
      <c r="G369" s="11"/>
      <c r="H369" s="11"/>
      <c r="L369" s="11"/>
    </row>
    <row r="370" ht="15.75" customHeight="1">
      <c r="E370" s="11"/>
      <c r="G370" s="11"/>
      <c r="H370" s="11"/>
      <c r="L370" s="11"/>
    </row>
    <row r="371" ht="15.75" customHeight="1">
      <c r="E371" s="11"/>
      <c r="G371" s="11"/>
      <c r="H371" s="11"/>
      <c r="L371" s="11"/>
    </row>
    <row r="372" ht="15.75" customHeight="1">
      <c r="E372" s="11"/>
      <c r="G372" s="11"/>
      <c r="H372" s="11"/>
      <c r="L372" s="11"/>
    </row>
    <row r="373" ht="15.75" customHeight="1">
      <c r="E373" s="11"/>
      <c r="G373" s="11"/>
      <c r="H373" s="11"/>
      <c r="L373" s="11"/>
    </row>
    <row r="374" ht="15.75" customHeight="1">
      <c r="E374" s="11"/>
      <c r="G374" s="11"/>
      <c r="H374" s="11"/>
      <c r="L374" s="11"/>
    </row>
    <row r="375" ht="15.75" customHeight="1">
      <c r="E375" s="11"/>
      <c r="G375" s="11"/>
      <c r="H375" s="11"/>
      <c r="L375" s="11"/>
    </row>
    <row r="376" ht="15.75" customHeight="1">
      <c r="E376" s="11"/>
      <c r="G376" s="11"/>
      <c r="H376" s="11"/>
      <c r="L376" s="11"/>
    </row>
    <row r="377" ht="15.75" customHeight="1">
      <c r="E377" s="11"/>
      <c r="G377" s="11"/>
      <c r="H377" s="11"/>
      <c r="L377" s="11"/>
    </row>
    <row r="378" ht="15.75" customHeight="1">
      <c r="E378" s="11"/>
      <c r="G378" s="11"/>
      <c r="H378" s="11"/>
      <c r="L378" s="11"/>
    </row>
    <row r="379" ht="15.75" customHeight="1">
      <c r="E379" s="11"/>
      <c r="G379" s="11"/>
      <c r="H379" s="11"/>
      <c r="L379" s="11"/>
    </row>
    <row r="380" ht="15.75" customHeight="1">
      <c r="E380" s="11"/>
      <c r="G380" s="11"/>
      <c r="H380" s="11"/>
      <c r="L380" s="11"/>
    </row>
    <row r="381" ht="15.75" customHeight="1">
      <c r="E381" s="11"/>
      <c r="G381" s="11"/>
      <c r="H381" s="11"/>
      <c r="L381" s="11"/>
    </row>
    <row r="382" ht="15.75" customHeight="1">
      <c r="E382" s="11"/>
      <c r="G382" s="11"/>
      <c r="H382" s="11"/>
      <c r="L382" s="11"/>
    </row>
    <row r="383" ht="15.75" customHeight="1">
      <c r="E383" s="11"/>
      <c r="G383" s="11"/>
      <c r="H383" s="11"/>
      <c r="L383" s="11"/>
    </row>
    <row r="384" ht="15.75" customHeight="1">
      <c r="E384" s="11"/>
      <c r="G384" s="11"/>
      <c r="H384" s="11"/>
      <c r="L384" s="11"/>
    </row>
    <row r="385" ht="15.75" customHeight="1">
      <c r="E385" s="11"/>
      <c r="G385" s="11"/>
      <c r="H385" s="11"/>
      <c r="L385" s="11"/>
    </row>
    <row r="386" ht="15.75" customHeight="1">
      <c r="E386" s="11"/>
      <c r="G386" s="11"/>
      <c r="H386" s="11"/>
      <c r="L386" s="11"/>
    </row>
    <row r="387" ht="15.75" customHeight="1">
      <c r="E387" s="11"/>
      <c r="G387" s="11"/>
      <c r="H387" s="11"/>
      <c r="L387" s="11"/>
    </row>
    <row r="388" ht="15.75" customHeight="1">
      <c r="E388" s="11"/>
      <c r="G388" s="11"/>
      <c r="H388" s="11"/>
      <c r="L388" s="11"/>
    </row>
    <row r="389" ht="15.75" customHeight="1">
      <c r="E389" s="11"/>
      <c r="G389" s="11"/>
      <c r="H389" s="11"/>
      <c r="L389" s="11"/>
    </row>
    <row r="390" ht="15.75" customHeight="1">
      <c r="E390" s="11"/>
      <c r="G390" s="11"/>
      <c r="H390" s="11"/>
      <c r="L390" s="11"/>
    </row>
    <row r="391" ht="15.75" customHeight="1">
      <c r="E391" s="11"/>
      <c r="G391" s="11"/>
      <c r="H391" s="11"/>
      <c r="L391" s="11"/>
    </row>
    <row r="392" ht="15.75" customHeight="1">
      <c r="E392" s="11"/>
      <c r="G392" s="11"/>
      <c r="H392" s="11"/>
      <c r="L392" s="11"/>
    </row>
    <row r="393" ht="15.75" customHeight="1">
      <c r="E393" s="11"/>
      <c r="G393" s="11"/>
      <c r="H393" s="11"/>
      <c r="L393" s="11"/>
    </row>
    <row r="394" ht="15.75" customHeight="1">
      <c r="E394" s="11"/>
      <c r="G394" s="11"/>
      <c r="H394" s="11"/>
      <c r="L394" s="11"/>
    </row>
    <row r="395" ht="15.75" customHeight="1">
      <c r="E395" s="11"/>
      <c r="G395" s="11"/>
      <c r="H395" s="11"/>
      <c r="L395" s="11"/>
    </row>
    <row r="396" ht="15.75" customHeight="1">
      <c r="E396" s="11"/>
      <c r="G396" s="11"/>
      <c r="H396" s="11"/>
      <c r="L396" s="11"/>
    </row>
    <row r="397" ht="15.75" customHeight="1">
      <c r="E397" s="11"/>
      <c r="G397" s="11"/>
      <c r="H397" s="11"/>
      <c r="L397" s="11"/>
    </row>
    <row r="398" ht="15.75" customHeight="1">
      <c r="E398" s="11"/>
      <c r="G398" s="11"/>
      <c r="H398" s="11"/>
      <c r="L398" s="11"/>
    </row>
    <row r="399" ht="15.75" customHeight="1">
      <c r="E399" s="11"/>
      <c r="G399" s="11"/>
      <c r="H399" s="11"/>
      <c r="L399" s="11"/>
    </row>
    <row r="400" ht="15.75" customHeight="1">
      <c r="E400" s="11"/>
      <c r="G400" s="11"/>
      <c r="H400" s="11"/>
      <c r="L400" s="11"/>
    </row>
    <row r="401" ht="15.75" customHeight="1">
      <c r="E401" s="11"/>
      <c r="G401" s="11"/>
      <c r="H401" s="11"/>
      <c r="L401" s="11"/>
    </row>
    <row r="402" ht="15.75" customHeight="1">
      <c r="E402" s="11"/>
      <c r="G402" s="11"/>
      <c r="H402" s="11"/>
      <c r="L402" s="11"/>
    </row>
    <row r="403" ht="15.75" customHeight="1">
      <c r="E403" s="11"/>
      <c r="G403" s="11"/>
      <c r="H403" s="11"/>
      <c r="L403" s="11"/>
    </row>
    <row r="404" ht="15.75" customHeight="1">
      <c r="E404" s="11"/>
      <c r="G404" s="11"/>
      <c r="H404" s="11"/>
      <c r="L404" s="11"/>
    </row>
    <row r="405" ht="15.75" customHeight="1">
      <c r="E405" s="11"/>
      <c r="G405" s="11"/>
      <c r="H405" s="11"/>
      <c r="L405" s="11"/>
    </row>
    <row r="406" ht="15.75" customHeight="1">
      <c r="E406" s="11"/>
      <c r="G406" s="11"/>
      <c r="H406" s="11"/>
      <c r="L406" s="11"/>
    </row>
    <row r="407" ht="15.75" customHeight="1">
      <c r="E407" s="11"/>
      <c r="G407" s="11"/>
      <c r="H407" s="11"/>
      <c r="L407" s="11"/>
    </row>
    <row r="408" ht="15.75" customHeight="1">
      <c r="E408" s="11"/>
      <c r="G408" s="11"/>
      <c r="H408" s="11"/>
      <c r="L408" s="11"/>
    </row>
    <row r="409" ht="15.75" customHeight="1">
      <c r="E409" s="11"/>
      <c r="G409" s="11"/>
      <c r="H409" s="11"/>
      <c r="L409" s="11"/>
    </row>
    <row r="410" ht="15.75" customHeight="1">
      <c r="E410" s="11"/>
      <c r="G410" s="11"/>
      <c r="H410" s="11"/>
      <c r="L410" s="11"/>
    </row>
    <row r="411" ht="15.75" customHeight="1">
      <c r="E411" s="11"/>
      <c r="G411" s="11"/>
      <c r="H411" s="11"/>
      <c r="L411" s="11"/>
    </row>
    <row r="412" ht="15.75" customHeight="1">
      <c r="E412" s="11"/>
      <c r="G412" s="11"/>
      <c r="H412" s="11"/>
      <c r="L412" s="11"/>
    </row>
    <row r="413" ht="15.75" customHeight="1">
      <c r="E413" s="11"/>
      <c r="G413" s="11"/>
      <c r="H413" s="11"/>
      <c r="L413" s="11"/>
    </row>
    <row r="414" ht="15.75" customHeight="1">
      <c r="E414" s="11"/>
      <c r="G414" s="11"/>
      <c r="H414" s="11"/>
      <c r="L414" s="11"/>
    </row>
    <row r="415" ht="15.75" customHeight="1">
      <c r="E415" s="11"/>
      <c r="G415" s="11"/>
      <c r="H415" s="11"/>
      <c r="L415" s="11"/>
    </row>
    <row r="416" ht="15.75" customHeight="1">
      <c r="E416" s="11"/>
      <c r="G416" s="11"/>
      <c r="H416" s="11"/>
      <c r="L416" s="11"/>
    </row>
    <row r="417" ht="15.75" customHeight="1">
      <c r="E417" s="11"/>
      <c r="G417" s="11"/>
      <c r="H417" s="11"/>
      <c r="L417" s="11"/>
    </row>
    <row r="418" ht="15.75" customHeight="1">
      <c r="E418" s="11"/>
      <c r="G418" s="11"/>
      <c r="H418" s="11"/>
      <c r="L418" s="11"/>
    </row>
    <row r="419" ht="15.75" customHeight="1">
      <c r="E419" s="11"/>
      <c r="G419" s="11"/>
      <c r="H419" s="11"/>
      <c r="L419" s="11"/>
    </row>
    <row r="420" ht="15.75" customHeight="1">
      <c r="E420" s="11"/>
      <c r="G420" s="11"/>
      <c r="H420" s="11"/>
      <c r="L420" s="11"/>
    </row>
    <row r="421" ht="15.75" customHeight="1">
      <c r="E421" s="11"/>
      <c r="G421" s="11"/>
      <c r="H421" s="11"/>
      <c r="L421" s="11"/>
    </row>
    <row r="422" ht="15.75" customHeight="1">
      <c r="E422" s="11"/>
      <c r="G422" s="11"/>
      <c r="H422" s="11"/>
      <c r="L422" s="11"/>
    </row>
    <row r="423" ht="15.75" customHeight="1">
      <c r="E423" s="11"/>
      <c r="G423" s="11"/>
      <c r="H423" s="11"/>
      <c r="L423" s="11"/>
    </row>
    <row r="424" ht="15.75" customHeight="1">
      <c r="E424" s="11"/>
      <c r="G424" s="11"/>
      <c r="H424" s="11"/>
      <c r="L424" s="11"/>
    </row>
    <row r="425" ht="15.75" customHeight="1">
      <c r="E425" s="11"/>
      <c r="G425" s="11"/>
      <c r="H425" s="11"/>
      <c r="L425" s="11"/>
    </row>
    <row r="426" ht="15.75" customHeight="1">
      <c r="E426" s="11"/>
      <c r="G426" s="11"/>
      <c r="H426" s="11"/>
      <c r="L426" s="11"/>
    </row>
    <row r="427" ht="15.75" customHeight="1">
      <c r="E427" s="11"/>
      <c r="G427" s="11"/>
      <c r="H427" s="11"/>
      <c r="L427" s="11"/>
    </row>
    <row r="428" ht="15.75" customHeight="1">
      <c r="E428" s="11"/>
      <c r="G428" s="11"/>
      <c r="H428" s="11"/>
      <c r="L428" s="11"/>
    </row>
    <row r="429" ht="15.75" customHeight="1">
      <c r="E429" s="11"/>
      <c r="G429" s="11"/>
      <c r="H429" s="11"/>
      <c r="L429" s="11"/>
    </row>
    <row r="430" ht="15.75" customHeight="1">
      <c r="E430" s="11"/>
      <c r="G430" s="11"/>
      <c r="H430" s="11"/>
      <c r="L430" s="11"/>
    </row>
    <row r="431" ht="15.75" customHeight="1">
      <c r="E431" s="11"/>
      <c r="G431" s="11"/>
      <c r="H431" s="11"/>
      <c r="L431" s="11"/>
    </row>
    <row r="432" ht="15.75" customHeight="1">
      <c r="E432" s="11"/>
      <c r="G432" s="11"/>
      <c r="H432" s="11"/>
      <c r="L432" s="11"/>
    </row>
    <row r="433" ht="15.75" customHeight="1">
      <c r="E433" s="11"/>
      <c r="G433" s="11"/>
      <c r="H433" s="11"/>
      <c r="L433" s="11"/>
    </row>
    <row r="434" ht="15.75" customHeight="1">
      <c r="E434" s="11"/>
      <c r="G434" s="11"/>
      <c r="H434" s="11"/>
      <c r="L434" s="11"/>
    </row>
    <row r="435" ht="15.75" customHeight="1">
      <c r="E435" s="11"/>
      <c r="G435" s="11"/>
      <c r="H435" s="11"/>
      <c r="L435" s="11"/>
    </row>
    <row r="436" ht="15.75" customHeight="1">
      <c r="E436" s="11"/>
      <c r="G436" s="11"/>
      <c r="H436" s="11"/>
      <c r="L436" s="11"/>
    </row>
    <row r="437" ht="15.75" customHeight="1">
      <c r="E437" s="11"/>
      <c r="G437" s="11"/>
      <c r="H437" s="11"/>
      <c r="L437" s="11"/>
    </row>
    <row r="438" ht="15.75" customHeight="1">
      <c r="E438" s="11"/>
      <c r="G438" s="11"/>
      <c r="H438" s="11"/>
      <c r="L438" s="11"/>
    </row>
    <row r="439" ht="15.75" customHeight="1">
      <c r="E439" s="11"/>
      <c r="G439" s="11"/>
      <c r="H439" s="11"/>
      <c r="L439" s="11"/>
    </row>
    <row r="440" ht="15.75" customHeight="1">
      <c r="E440" s="11"/>
      <c r="G440" s="11"/>
      <c r="H440" s="11"/>
      <c r="L440" s="11"/>
    </row>
    <row r="441" ht="15.75" customHeight="1">
      <c r="E441" s="11"/>
      <c r="G441" s="11"/>
      <c r="H441" s="11"/>
      <c r="L441" s="11"/>
    </row>
    <row r="442" ht="15.75" customHeight="1">
      <c r="E442" s="11"/>
      <c r="G442" s="11"/>
      <c r="H442" s="11"/>
      <c r="L442" s="11"/>
    </row>
    <row r="443" ht="15.75" customHeight="1">
      <c r="E443" s="11"/>
      <c r="G443" s="11"/>
      <c r="H443" s="11"/>
      <c r="L443" s="11"/>
    </row>
    <row r="444" ht="15.75" customHeight="1">
      <c r="E444" s="11"/>
      <c r="G444" s="11"/>
      <c r="H444" s="11"/>
      <c r="L444" s="11"/>
    </row>
    <row r="445" ht="15.75" customHeight="1">
      <c r="E445" s="11"/>
      <c r="G445" s="11"/>
      <c r="H445" s="11"/>
      <c r="L445" s="11"/>
    </row>
    <row r="446" ht="15.75" customHeight="1">
      <c r="E446" s="11"/>
      <c r="G446" s="11"/>
      <c r="H446" s="11"/>
      <c r="L446" s="11"/>
    </row>
    <row r="447" ht="15.75" customHeight="1">
      <c r="E447" s="11"/>
      <c r="G447" s="11"/>
      <c r="H447" s="11"/>
      <c r="L447" s="11"/>
    </row>
    <row r="448" ht="15.75" customHeight="1">
      <c r="E448" s="11"/>
      <c r="G448" s="11"/>
      <c r="H448" s="11"/>
      <c r="L448" s="11"/>
    </row>
    <row r="449" ht="15.75" customHeight="1">
      <c r="E449" s="11"/>
      <c r="G449" s="11"/>
      <c r="H449" s="11"/>
      <c r="L449" s="11"/>
    </row>
    <row r="450" ht="15.75" customHeight="1">
      <c r="E450" s="11"/>
      <c r="G450" s="11"/>
      <c r="H450" s="11"/>
      <c r="L450" s="11"/>
    </row>
    <row r="451" ht="15.75" customHeight="1">
      <c r="E451" s="11"/>
      <c r="G451" s="11"/>
      <c r="H451" s="11"/>
      <c r="L451" s="11"/>
    </row>
    <row r="452" ht="15.75" customHeight="1">
      <c r="E452" s="11"/>
      <c r="G452" s="11"/>
      <c r="H452" s="11"/>
      <c r="L452" s="11"/>
    </row>
    <row r="453" ht="15.75" customHeight="1">
      <c r="E453" s="11"/>
      <c r="G453" s="11"/>
      <c r="H453" s="11"/>
      <c r="L453" s="11"/>
    </row>
    <row r="454" ht="15.75" customHeight="1">
      <c r="E454" s="11"/>
      <c r="G454" s="11"/>
      <c r="H454" s="11"/>
      <c r="L454" s="11"/>
    </row>
    <row r="455" ht="15.75" customHeight="1">
      <c r="E455" s="11"/>
      <c r="G455" s="11"/>
      <c r="H455" s="11"/>
      <c r="L455" s="11"/>
    </row>
    <row r="456" ht="15.75" customHeight="1">
      <c r="E456" s="11"/>
      <c r="G456" s="11"/>
      <c r="H456" s="11"/>
      <c r="L456" s="11"/>
    </row>
    <row r="457" ht="15.75" customHeight="1">
      <c r="E457" s="11"/>
      <c r="G457" s="11"/>
      <c r="H457" s="11"/>
      <c r="L457" s="11"/>
    </row>
    <row r="458" ht="15.75" customHeight="1">
      <c r="E458" s="11"/>
      <c r="G458" s="11"/>
      <c r="H458" s="11"/>
      <c r="L458" s="11"/>
    </row>
    <row r="459" ht="15.75" customHeight="1">
      <c r="E459" s="11"/>
      <c r="G459" s="11"/>
      <c r="H459" s="11"/>
      <c r="L459" s="11"/>
    </row>
    <row r="460" ht="15.75" customHeight="1">
      <c r="E460" s="11"/>
      <c r="G460" s="11"/>
      <c r="H460" s="11"/>
      <c r="L460" s="11"/>
    </row>
    <row r="461" ht="15.75" customHeight="1">
      <c r="E461" s="11"/>
      <c r="G461" s="11"/>
      <c r="H461" s="11"/>
      <c r="L461" s="11"/>
    </row>
    <row r="462" ht="15.75" customHeight="1">
      <c r="E462" s="11"/>
      <c r="G462" s="11"/>
      <c r="H462" s="11"/>
      <c r="L462" s="11"/>
    </row>
    <row r="463" ht="15.75" customHeight="1">
      <c r="E463" s="11"/>
      <c r="G463" s="11"/>
      <c r="H463" s="11"/>
      <c r="L463" s="11"/>
    </row>
    <row r="464" ht="15.75" customHeight="1">
      <c r="E464" s="11"/>
      <c r="G464" s="11"/>
      <c r="H464" s="11"/>
      <c r="L464" s="11"/>
    </row>
    <row r="465" ht="15.75" customHeight="1">
      <c r="E465" s="11"/>
      <c r="G465" s="11"/>
      <c r="H465" s="11"/>
      <c r="L465" s="11"/>
    </row>
    <row r="466" ht="15.75" customHeight="1">
      <c r="E466" s="11"/>
      <c r="G466" s="11"/>
      <c r="H466" s="11"/>
      <c r="L466" s="11"/>
    </row>
    <row r="467" ht="15.75" customHeight="1">
      <c r="E467" s="11"/>
      <c r="G467" s="11"/>
      <c r="H467" s="11"/>
      <c r="L467" s="11"/>
    </row>
    <row r="468" ht="15.75" customHeight="1">
      <c r="E468" s="11"/>
      <c r="G468" s="11"/>
      <c r="H468" s="11"/>
      <c r="L468" s="11"/>
    </row>
    <row r="469" ht="15.75" customHeight="1">
      <c r="E469" s="11"/>
      <c r="G469" s="11"/>
      <c r="H469" s="11"/>
      <c r="L469" s="11"/>
    </row>
    <row r="470" ht="15.75" customHeight="1">
      <c r="E470" s="11"/>
      <c r="G470" s="11"/>
      <c r="H470" s="11"/>
      <c r="L470" s="11"/>
    </row>
    <row r="471" ht="15.75" customHeight="1">
      <c r="E471" s="11"/>
      <c r="G471" s="11"/>
      <c r="H471" s="11"/>
      <c r="L471" s="11"/>
    </row>
    <row r="472" ht="15.75" customHeight="1">
      <c r="E472" s="11"/>
      <c r="G472" s="11"/>
      <c r="H472" s="11"/>
      <c r="L472" s="11"/>
    </row>
    <row r="473" ht="15.75" customHeight="1">
      <c r="E473" s="11"/>
      <c r="G473" s="11"/>
      <c r="H473" s="11"/>
      <c r="L473" s="11"/>
    </row>
    <row r="474" ht="15.75" customHeight="1">
      <c r="E474" s="11"/>
      <c r="G474" s="11"/>
      <c r="H474" s="11"/>
      <c r="L474" s="11"/>
    </row>
    <row r="475" ht="15.75" customHeight="1">
      <c r="E475" s="11"/>
      <c r="G475" s="11"/>
      <c r="H475" s="11"/>
      <c r="L475" s="11"/>
    </row>
    <row r="476" ht="15.75" customHeight="1">
      <c r="E476" s="11"/>
      <c r="G476" s="11"/>
      <c r="H476" s="11"/>
      <c r="L476" s="11"/>
    </row>
    <row r="477" ht="15.75" customHeight="1">
      <c r="E477" s="11"/>
      <c r="G477" s="11"/>
      <c r="H477" s="11"/>
      <c r="L477" s="11"/>
    </row>
    <row r="478" ht="15.75" customHeight="1">
      <c r="E478" s="11"/>
      <c r="G478" s="11"/>
      <c r="H478" s="11"/>
      <c r="L478" s="11"/>
    </row>
    <row r="479" ht="15.75" customHeight="1">
      <c r="E479" s="11"/>
      <c r="G479" s="11"/>
      <c r="H479" s="11"/>
      <c r="L479" s="11"/>
    </row>
    <row r="480" ht="15.75" customHeight="1">
      <c r="E480" s="11"/>
      <c r="G480" s="11"/>
      <c r="H480" s="11"/>
      <c r="L480" s="11"/>
    </row>
    <row r="481" ht="15.75" customHeight="1">
      <c r="E481" s="11"/>
      <c r="G481" s="11"/>
      <c r="H481" s="11"/>
      <c r="L481" s="11"/>
    </row>
    <row r="482" ht="15.75" customHeight="1">
      <c r="E482" s="11"/>
      <c r="G482" s="11"/>
      <c r="H482" s="11"/>
      <c r="L482" s="11"/>
    </row>
    <row r="483" ht="15.75" customHeight="1">
      <c r="E483" s="11"/>
      <c r="G483" s="11"/>
      <c r="H483" s="11"/>
      <c r="L483" s="11"/>
    </row>
    <row r="484" ht="15.75" customHeight="1">
      <c r="E484" s="11"/>
      <c r="G484" s="11"/>
      <c r="H484" s="11"/>
      <c r="L484" s="11"/>
    </row>
    <row r="485" ht="15.75" customHeight="1">
      <c r="E485" s="11"/>
      <c r="G485" s="11"/>
      <c r="H485" s="11"/>
      <c r="L485" s="11"/>
    </row>
    <row r="486" ht="15.75" customHeight="1">
      <c r="E486" s="11"/>
      <c r="G486" s="11"/>
      <c r="H486" s="11"/>
      <c r="L486" s="11"/>
    </row>
    <row r="487" ht="15.75" customHeight="1">
      <c r="E487" s="11"/>
      <c r="G487" s="11"/>
      <c r="H487" s="11"/>
      <c r="L487" s="11"/>
    </row>
    <row r="488" ht="15.75" customHeight="1">
      <c r="E488" s="11"/>
      <c r="G488" s="11"/>
      <c r="H488" s="11"/>
      <c r="L488" s="11"/>
    </row>
    <row r="489" ht="15.75" customHeight="1">
      <c r="E489" s="11"/>
      <c r="G489" s="11"/>
      <c r="H489" s="11"/>
      <c r="L489" s="11"/>
    </row>
    <row r="490" ht="15.75" customHeight="1">
      <c r="E490" s="11"/>
      <c r="G490" s="11"/>
      <c r="H490" s="11"/>
      <c r="L490" s="11"/>
    </row>
    <row r="491" ht="15.75" customHeight="1">
      <c r="E491" s="11"/>
      <c r="G491" s="11"/>
      <c r="H491" s="11"/>
      <c r="L491" s="11"/>
    </row>
    <row r="492" ht="15.75" customHeight="1">
      <c r="E492" s="11"/>
      <c r="G492" s="11"/>
      <c r="H492" s="11"/>
      <c r="L492" s="11"/>
    </row>
    <row r="493" ht="15.75" customHeight="1">
      <c r="E493" s="11"/>
      <c r="G493" s="11"/>
      <c r="H493" s="11"/>
      <c r="L493" s="11"/>
    </row>
    <row r="494" ht="15.75" customHeight="1">
      <c r="E494" s="11"/>
      <c r="G494" s="11"/>
      <c r="H494" s="11"/>
      <c r="L494" s="11"/>
    </row>
    <row r="495" ht="15.75" customHeight="1">
      <c r="E495" s="11"/>
      <c r="G495" s="11"/>
      <c r="H495" s="11"/>
      <c r="L495" s="11"/>
    </row>
    <row r="496" ht="15.75" customHeight="1">
      <c r="E496" s="11"/>
      <c r="G496" s="11"/>
      <c r="H496" s="11"/>
      <c r="L496" s="11"/>
    </row>
    <row r="497" ht="15.75" customHeight="1">
      <c r="E497" s="11"/>
      <c r="G497" s="11"/>
      <c r="H497" s="11"/>
      <c r="L497" s="11"/>
    </row>
    <row r="498" ht="15.75" customHeight="1">
      <c r="E498" s="11"/>
      <c r="G498" s="11"/>
      <c r="H498" s="11"/>
      <c r="L498" s="11"/>
    </row>
    <row r="499" ht="15.75" customHeight="1">
      <c r="E499" s="11"/>
      <c r="G499" s="11"/>
      <c r="H499" s="11"/>
      <c r="L499" s="11"/>
    </row>
    <row r="500" ht="15.75" customHeight="1">
      <c r="E500" s="11"/>
      <c r="G500" s="11"/>
      <c r="H500" s="11"/>
      <c r="L500" s="11"/>
    </row>
    <row r="501" ht="15.75" customHeight="1">
      <c r="E501" s="11"/>
      <c r="G501" s="11"/>
      <c r="H501" s="11"/>
      <c r="L501" s="11"/>
    </row>
    <row r="502" ht="15.75" customHeight="1">
      <c r="E502" s="11"/>
      <c r="G502" s="11"/>
      <c r="H502" s="11"/>
      <c r="L502" s="11"/>
    </row>
    <row r="503" ht="15.75" customHeight="1">
      <c r="E503" s="11"/>
      <c r="G503" s="11"/>
      <c r="H503" s="11"/>
      <c r="L503" s="11"/>
    </row>
    <row r="504" ht="15.75" customHeight="1">
      <c r="E504" s="11"/>
      <c r="G504" s="11"/>
      <c r="H504" s="11"/>
      <c r="L504" s="11"/>
    </row>
    <row r="505" ht="15.75" customHeight="1">
      <c r="E505" s="11"/>
      <c r="G505" s="11"/>
      <c r="H505" s="11"/>
      <c r="L505" s="11"/>
    </row>
    <row r="506" ht="15.75" customHeight="1">
      <c r="E506" s="11"/>
      <c r="G506" s="11"/>
      <c r="H506" s="11"/>
      <c r="L506" s="11"/>
    </row>
    <row r="507" ht="15.75" customHeight="1">
      <c r="E507" s="11"/>
      <c r="G507" s="11"/>
      <c r="H507" s="11"/>
      <c r="L507" s="11"/>
    </row>
    <row r="508" ht="15.75" customHeight="1">
      <c r="E508" s="11"/>
      <c r="G508" s="11"/>
      <c r="H508" s="11"/>
      <c r="L508" s="11"/>
    </row>
    <row r="509" ht="15.75" customHeight="1">
      <c r="E509" s="11"/>
      <c r="G509" s="11"/>
      <c r="H509" s="11"/>
      <c r="L509" s="11"/>
    </row>
    <row r="510" ht="15.75" customHeight="1">
      <c r="E510" s="11"/>
      <c r="G510" s="11"/>
      <c r="H510" s="11"/>
      <c r="L510" s="11"/>
    </row>
    <row r="511" ht="15.75" customHeight="1">
      <c r="E511" s="11"/>
      <c r="G511" s="11"/>
      <c r="H511" s="11"/>
      <c r="L511" s="11"/>
    </row>
    <row r="512" ht="15.75" customHeight="1">
      <c r="E512" s="11"/>
      <c r="G512" s="11"/>
      <c r="H512" s="11"/>
      <c r="L512" s="11"/>
    </row>
    <row r="513" ht="15.75" customHeight="1">
      <c r="E513" s="11"/>
      <c r="G513" s="11"/>
      <c r="H513" s="11"/>
      <c r="L513" s="11"/>
    </row>
    <row r="514" ht="15.75" customHeight="1">
      <c r="E514" s="11"/>
      <c r="G514" s="11"/>
      <c r="H514" s="11"/>
      <c r="L514" s="11"/>
    </row>
    <row r="515" ht="15.75" customHeight="1">
      <c r="E515" s="11"/>
      <c r="G515" s="11"/>
      <c r="H515" s="11"/>
      <c r="L515" s="11"/>
    </row>
    <row r="516" ht="15.75" customHeight="1">
      <c r="E516" s="11"/>
      <c r="G516" s="11"/>
      <c r="H516" s="11"/>
      <c r="L516" s="11"/>
    </row>
    <row r="517" ht="15.75" customHeight="1">
      <c r="E517" s="11"/>
      <c r="G517" s="11"/>
      <c r="H517" s="11"/>
      <c r="L517" s="11"/>
    </row>
    <row r="518" ht="15.75" customHeight="1">
      <c r="E518" s="11"/>
      <c r="G518" s="11"/>
      <c r="H518" s="11"/>
      <c r="L518" s="11"/>
    </row>
    <row r="519" ht="15.75" customHeight="1">
      <c r="E519" s="11"/>
      <c r="G519" s="11"/>
      <c r="H519" s="11"/>
      <c r="L519" s="11"/>
    </row>
    <row r="520" ht="15.75" customHeight="1">
      <c r="E520" s="11"/>
      <c r="G520" s="11"/>
      <c r="H520" s="11"/>
      <c r="L520" s="11"/>
    </row>
    <row r="521" ht="15.75" customHeight="1">
      <c r="E521" s="11"/>
      <c r="G521" s="11"/>
      <c r="H521" s="11"/>
      <c r="L521" s="11"/>
    </row>
    <row r="522" ht="15.75" customHeight="1">
      <c r="E522" s="11"/>
      <c r="G522" s="11"/>
      <c r="H522" s="11"/>
      <c r="L522" s="11"/>
    </row>
    <row r="523" ht="15.75" customHeight="1">
      <c r="E523" s="11"/>
      <c r="G523" s="11"/>
      <c r="H523" s="11"/>
      <c r="L523" s="11"/>
    </row>
    <row r="524" ht="15.75" customHeight="1">
      <c r="E524" s="11"/>
      <c r="G524" s="11"/>
      <c r="H524" s="11"/>
      <c r="L524" s="11"/>
    </row>
    <row r="525" ht="15.75" customHeight="1">
      <c r="E525" s="11"/>
      <c r="G525" s="11"/>
      <c r="H525" s="11"/>
      <c r="L525" s="11"/>
    </row>
    <row r="526" ht="15.75" customHeight="1">
      <c r="E526" s="11"/>
      <c r="G526" s="11"/>
      <c r="H526" s="11"/>
      <c r="L526" s="11"/>
    </row>
    <row r="527" ht="15.75" customHeight="1">
      <c r="E527" s="11"/>
      <c r="G527" s="11"/>
      <c r="H527" s="11"/>
      <c r="L527" s="11"/>
    </row>
    <row r="528" ht="15.75" customHeight="1">
      <c r="E528" s="11"/>
      <c r="G528" s="11"/>
      <c r="H528" s="11"/>
      <c r="L528" s="11"/>
    </row>
    <row r="529" ht="15.75" customHeight="1">
      <c r="E529" s="11"/>
      <c r="G529" s="11"/>
      <c r="H529" s="11"/>
      <c r="L529" s="11"/>
    </row>
    <row r="530" ht="15.75" customHeight="1">
      <c r="E530" s="11"/>
      <c r="G530" s="11"/>
      <c r="H530" s="11"/>
      <c r="L530" s="11"/>
    </row>
    <row r="531" ht="15.75" customHeight="1">
      <c r="E531" s="11"/>
      <c r="G531" s="11"/>
      <c r="H531" s="11"/>
      <c r="L531" s="11"/>
    </row>
    <row r="532" ht="15.75" customHeight="1">
      <c r="E532" s="11"/>
      <c r="G532" s="11"/>
      <c r="H532" s="11"/>
      <c r="L532" s="11"/>
    </row>
    <row r="533" ht="15.75" customHeight="1">
      <c r="E533" s="11"/>
      <c r="G533" s="11"/>
      <c r="H533" s="11"/>
      <c r="L533" s="11"/>
    </row>
    <row r="534" ht="15.75" customHeight="1">
      <c r="E534" s="11"/>
      <c r="G534" s="11"/>
      <c r="H534" s="11"/>
      <c r="L534" s="11"/>
    </row>
    <row r="535" ht="15.75" customHeight="1">
      <c r="E535" s="11"/>
      <c r="G535" s="11"/>
      <c r="H535" s="11"/>
      <c r="L535" s="11"/>
    </row>
    <row r="536" ht="15.75" customHeight="1">
      <c r="E536" s="11"/>
      <c r="G536" s="11"/>
      <c r="H536" s="11"/>
      <c r="L536" s="11"/>
    </row>
    <row r="537" ht="15.75" customHeight="1">
      <c r="E537" s="11"/>
      <c r="G537" s="11"/>
      <c r="H537" s="11"/>
      <c r="L537" s="11"/>
    </row>
    <row r="538" ht="15.75" customHeight="1">
      <c r="E538" s="11"/>
      <c r="G538" s="11"/>
      <c r="H538" s="11"/>
      <c r="L538" s="11"/>
    </row>
    <row r="539" ht="15.75" customHeight="1">
      <c r="E539" s="11"/>
      <c r="G539" s="11"/>
      <c r="H539" s="11"/>
      <c r="L539" s="11"/>
    </row>
    <row r="540" ht="15.75" customHeight="1">
      <c r="E540" s="11"/>
      <c r="G540" s="11"/>
      <c r="H540" s="11"/>
      <c r="L540" s="11"/>
    </row>
    <row r="541" ht="15.75" customHeight="1">
      <c r="E541" s="11"/>
      <c r="G541" s="11"/>
      <c r="H541" s="11"/>
      <c r="L541" s="11"/>
    </row>
    <row r="542" ht="15.75" customHeight="1">
      <c r="E542" s="11"/>
      <c r="G542" s="11"/>
      <c r="H542" s="11"/>
      <c r="L542" s="11"/>
    </row>
    <row r="543" ht="15.75" customHeight="1">
      <c r="E543" s="11"/>
      <c r="G543" s="11"/>
      <c r="H543" s="11"/>
      <c r="L543" s="11"/>
    </row>
    <row r="544" ht="15.75" customHeight="1">
      <c r="E544" s="11"/>
      <c r="G544" s="11"/>
      <c r="H544" s="11"/>
      <c r="L544" s="11"/>
    </row>
    <row r="545" ht="15.75" customHeight="1">
      <c r="E545" s="11"/>
      <c r="G545" s="11"/>
      <c r="H545" s="11"/>
      <c r="L545" s="11"/>
    </row>
    <row r="546" ht="15.75" customHeight="1">
      <c r="E546" s="11"/>
      <c r="G546" s="11"/>
      <c r="H546" s="11"/>
      <c r="L546" s="11"/>
    </row>
    <row r="547" ht="15.75" customHeight="1">
      <c r="E547" s="11"/>
      <c r="G547" s="11"/>
      <c r="H547" s="11"/>
      <c r="L547" s="11"/>
    </row>
    <row r="548" ht="15.75" customHeight="1">
      <c r="E548" s="11"/>
      <c r="G548" s="11"/>
      <c r="H548" s="11"/>
      <c r="L548" s="11"/>
    </row>
    <row r="549" ht="15.75" customHeight="1">
      <c r="E549" s="11"/>
      <c r="G549" s="11"/>
      <c r="H549" s="11"/>
      <c r="L549" s="11"/>
    </row>
    <row r="550" ht="15.75" customHeight="1">
      <c r="E550" s="11"/>
      <c r="G550" s="11"/>
      <c r="H550" s="11"/>
      <c r="L550" s="11"/>
    </row>
    <row r="551" ht="15.75" customHeight="1">
      <c r="E551" s="11"/>
      <c r="G551" s="11"/>
      <c r="H551" s="11"/>
      <c r="L551" s="11"/>
    </row>
    <row r="552" ht="15.75" customHeight="1">
      <c r="E552" s="11"/>
      <c r="G552" s="11"/>
      <c r="H552" s="11"/>
      <c r="L552" s="11"/>
    </row>
    <row r="553" ht="15.75" customHeight="1">
      <c r="E553" s="11"/>
      <c r="G553" s="11"/>
      <c r="H553" s="11"/>
      <c r="L553" s="11"/>
    </row>
    <row r="554" ht="15.75" customHeight="1">
      <c r="E554" s="11"/>
      <c r="G554" s="11"/>
      <c r="H554" s="11"/>
      <c r="L554" s="11"/>
    </row>
    <row r="555" ht="15.75" customHeight="1">
      <c r="E555" s="11"/>
      <c r="G555" s="11"/>
      <c r="H555" s="11"/>
      <c r="L555" s="11"/>
    </row>
    <row r="556" ht="15.75" customHeight="1">
      <c r="E556" s="11"/>
      <c r="G556" s="11"/>
      <c r="H556" s="11"/>
      <c r="L556" s="11"/>
    </row>
    <row r="557" ht="15.75" customHeight="1">
      <c r="E557" s="11"/>
      <c r="G557" s="11"/>
      <c r="H557" s="11"/>
      <c r="L557" s="11"/>
    </row>
    <row r="558" ht="15.75" customHeight="1">
      <c r="E558" s="11"/>
      <c r="G558" s="11"/>
      <c r="H558" s="11"/>
      <c r="L558" s="11"/>
    </row>
    <row r="559" ht="15.75" customHeight="1">
      <c r="E559" s="11"/>
      <c r="G559" s="11"/>
      <c r="H559" s="11"/>
      <c r="L559" s="11"/>
    </row>
    <row r="560" ht="15.75" customHeight="1">
      <c r="E560" s="11"/>
      <c r="G560" s="11"/>
      <c r="H560" s="11"/>
      <c r="L560" s="11"/>
    </row>
    <row r="561" ht="15.75" customHeight="1">
      <c r="E561" s="11"/>
      <c r="G561" s="11"/>
      <c r="H561" s="11"/>
      <c r="L561" s="11"/>
    </row>
    <row r="562" ht="15.75" customHeight="1">
      <c r="E562" s="11"/>
      <c r="G562" s="11"/>
      <c r="H562" s="11"/>
      <c r="L562" s="11"/>
    </row>
    <row r="563" ht="15.75" customHeight="1">
      <c r="E563" s="11"/>
      <c r="G563" s="11"/>
      <c r="H563" s="11"/>
      <c r="L563" s="11"/>
    </row>
    <row r="564" ht="15.75" customHeight="1">
      <c r="E564" s="11"/>
      <c r="G564" s="11"/>
      <c r="H564" s="11"/>
      <c r="L564" s="11"/>
    </row>
    <row r="565" ht="15.75" customHeight="1">
      <c r="E565" s="11"/>
      <c r="G565" s="11"/>
      <c r="H565" s="11"/>
      <c r="L565" s="11"/>
    </row>
    <row r="566" ht="15.75" customHeight="1">
      <c r="E566" s="11"/>
      <c r="G566" s="11"/>
      <c r="H566" s="11"/>
      <c r="L566" s="11"/>
    </row>
    <row r="567" ht="15.75" customHeight="1">
      <c r="E567" s="11"/>
      <c r="G567" s="11"/>
      <c r="H567" s="11"/>
      <c r="L567" s="11"/>
    </row>
    <row r="568" ht="15.75" customHeight="1">
      <c r="E568" s="11"/>
      <c r="G568" s="11"/>
      <c r="H568" s="11"/>
      <c r="L568" s="11"/>
    </row>
    <row r="569" ht="15.75" customHeight="1">
      <c r="E569" s="11"/>
      <c r="G569" s="11"/>
      <c r="H569" s="11"/>
      <c r="L569" s="11"/>
    </row>
    <row r="570" ht="15.75" customHeight="1">
      <c r="E570" s="11"/>
      <c r="G570" s="11"/>
      <c r="H570" s="11"/>
      <c r="L570" s="11"/>
    </row>
    <row r="571" ht="15.75" customHeight="1">
      <c r="E571" s="11"/>
      <c r="G571" s="11"/>
      <c r="H571" s="11"/>
      <c r="L571" s="11"/>
    </row>
    <row r="572" ht="15.75" customHeight="1">
      <c r="E572" s="11"/>
      <c r="G572" s="11"/>
      <c r="H572" s="11"/>
      <c r="L572" s="11"/>
    </row>
    <row r="573" ht="15.75" customHeight="1">
      <c r="E573" s="11"/>
      <c r="G573" s="11"/>
      <c r="H573" s="11"/>
      <c r="L573" s="11"/>
    </row>
    <row r="574" ht="15.75" customHeight="1">
      <c r="E574" s="11"/>
      <c r="G574" s="11"/>
      <c r="H574" s="11"/>
      <c r="L574" s="11"/>
    </row>
    <row r="575" ht="15.75" customHeight="1">
      <c r="E575" s="11"/>
      <c r="G575" s="11"/>
      <c r="H575" s="11"/>
      <c r="L575" s="11"/>
    </row>
    <row r="576" ht="15.75" customHeight="1">
      <c r="E576" s="11"/>
      <c r="G576" s="11"/>
      <c r="H576" s="11"/>
      <c r="L576" s="11"/>
    </row>
    <row r="577" ht="15.75" customHeight="1">
      <c r="E577" s="11"/>
      <c r="G577" s="11"/>
      <c r="H577" s="11"/>
      <c r="L577" s="11"/>
    </row>
    <row r="578" ht="15.75" customHeight="1">
      <c r="E578" s="11"/>
      <c r="G578" s="11"/>
      <c r="H578" s="11"/>
      <c r="L578" s="11"/>
    </row>
    <row r="579" ht="15.75" customHeight="1">
      <c r="E579" s="11"/>
      <c r="G579" s="11"/>
      <c r="H579" s="11"/>
      <c r="L579" s="11"/>
    </row>
    <row r="580" ht="15.75" customHeight="1">
      <c r="E580" s="11"/>
      <c r="G580" s="11"/>
      <c r="H580" s="11"/>
      <c r="L580" s="11"/>
    </row>
    <row r="581" ht="15.75" customHeight="1">
      <c r="E581" s="11"/>
      <c r="G581" s="11"/>
      <c r="H581" s="11"/>
      <c r="L581" s="11"/>
    </row>
    <row r="582" ht="15.75" customHeight="1">
      <c r="E582" s="11"/>
      <c r="G582" s="11"/>
      <c r="H582" s="11"/>
      <c r="L582" s="11"/>
    </row>
    <row r="583" ht="15.75" customHeight="1">
      <c r="E583" s="11"/>
      <c r="G583" s="11"/>
      <c r="H583" s="11"/>
      <c r="L583" s="11"/>
    </row>
    <row r="584" ht="15.75" customHeight="1">
      <c r="E584" s="11"/>
      <c r="G584" s="11"/>
      <c r="H584" s="11"/>
      <c r="L584" s="11"/>
    </row>
    <row r="585" ht="15.75" customHeight="1">
      <c r="E585" s="11"/>
      <c r="G585" s="11"/>
      <c r="H585" s="11"/>
      <c r="L585" s="11"/>
    </row>
    <row r="586" ht="15.75" customHeight="1">
      <c r="E586" s="11"/>
      <c r="G586" s="11"/>
      <c r="H586" s="11"/>
      <c r="L586" s="11"/>
    </row>
    <row r="587" ht="15.75" customHeight="1">
      <c r="E587" s="11"/>
      <c r="G587" s="11"/>
      <c r="H587" s="11"/>
      <c r="L587" s="11"/>
    </row>
    <row r="588" ht="15.75" customHeight="1">
      <c r="E588" s="11"/>
      <c r="G588" s="11"/>
      <c r="H588" s="11"/>
      <c r="L588" s="11"/>
    </row>
    <row r="589" ht="15.75" customHeight="1">
      <c r="E589" s="11"/>
      <c r="G589" s="11"/>
      <c r="H589" s="11"/>
      <c r="L589" s="11"/>
    </row>
    <row r="590" ht="15.75" customHeight="1">
      <c r="E590" s="11"/>
      <c r="G590" s="11"/>
      <c r="H590" s="11"/>
      <c r="L590" s="11"/>
    </row>
    <row r="591" ht="15.75" customHeight="1">
      <c r="E591" s="11"/>
      <c r="G591" s="11"/>
      <c r="H591" s="11"/>
      <c r="L591" s="11"/>
    </row>
    <row r="592" ht="15.75" customHeight="1">
      <c r="E592" s="11"/>
      <c r="G592" s="11"/>
      <c r="H592" s="11"/>
      <c r="L592" s="11"/>
    </row>
    <row r="593" ht="15.75" customHeight="1">
      <c r="E593" s="11"/>
      <c r="G593" s="11"/>
      <c r="H593" s="11"/>
      <c r="L593" s="11"/>
    </row>
    <row r="594" ht="15.75" customHeight="1">
      <c r="E594" s="11"/>
      <c r="G594" s="11"/>
      <c r="H594" s="11"/>
      <c r="L594" s="11"/>
    </row>
    <row r="595" ht="15.75" customHeight="1">
      <c r="E595" s="11"/>
      <c r="G595" s="11"/>
      <c r="H595" s="11"/>
      <c r="L595" s="11"/>
    </row>
    <row r="596" ht="15.75" customHeight="1">
      <c r="E596" s="11"/>
      <c r="G596" s="11"/>
      <c r="H596" s="11"/>
      <c r="L596" s="11"/>
    </row>
    <row r="597" ht="15.75" customHeight="1">
      <c r="E597" s="11"/>
      <c r="G597" s="11"/>
      <c r="H597" s="11"/>
      <c r="L597" s="11"/>
    </row>
    <row r="598" ht="15.75" customHeight="1">
      <c r="E598" s="11"/>
      <c r="G598" s="11"/>
      <c r="H598" s="11"/>
      <c r="L598" s="11"/>
    </row>
    <row r="599" ht="15.75" customHeight="1">
      <c r="E599" s="11"/>
      <c r="G599" s="11"/>
      <c r="H599" s="11"/>
      <c r="L599" s="11"/>
    </row>
    <row r="600" ht="15.75" customHeight="1">
      <c r="E600" s="11"/>
      <c r="G600" s="11"/>
      <c r="H600" s="11"/>
      <c r="L600" s="11"/>
    </row>
    <row r="601" ht="15.75" customHeight="1">
      <c r="E601" s="11"/>
      <c r="G601" s="11"/>
      <c r="H601" s="11"/>
      <c r="L601" s="11"/>
    </row>
    <row r="602" ht="15.75" customHeight="1">
      <c r="E602" s="11"/>
      <c r="G602" s="11"/>
      <c r="H602" s="11"/>
      <c r="L602" s="11"/>
    </row>
    <row r="603" ht="15.75" customHeight="1">
      <c r="E603" s="11"/>
      <c r="G603" s="11"/>
      <c r="H603" s="11"/>
      <c r="L603" s="11"/>
    </row>
    <row r="604" ht="15.75" customHeight="1">
      <c r="E604" s="11"/>
      <c r="G604" s="11"/>
      <c r="H604" s="11"/>
      <c r="L604" s="11"/>
    </row>
    <row r="605" ht="15.75" customHeight="1">
      <c r="E605" s="11"/>
      <c r="G605" s="11"/>
      <c r="H605" s="11"/>
      <c r="L605" s="11"/>
    </row>
    <row r="606" ht="15.75" customHeight="1">
      <c r="E606" s="11"/>
      <c r="G606" s="11"/>
      <c r="H606" s="11"/>
      <c r="L606" s="11"/>
    </row>
    <row r="607" ht="15.75" customHeight="1">
      <c r="E607" s="11"/>
      <c r="G607" s="11"/>
      <c r="H607" s="11"/>
      <c r="L607" s="11"/>
    </row>
    <row r="608" ht="15.75" customHeight="1">
      <c r="E608" s="11"/>
      <c r="G608" s="11"/>
      <c r="H608" s="11"/>
      <c r="L608" s="11"/>
    </row>
    <row r="609" ht="15.75" customHeight="1">
      <c r="E609" s="11"/>
      <c r="G609" s="11"/>
      <c r="H609" s="11"/>
      <c r="L609" s="11"/>
    </row>
    <row r="610" ht="15.75" customHeight="1">
      <c r="E610" s="11"/>
      <c r="G610" s="11"/>
      <c r="H610" s="11"/>
      <c r="L610" s="11"/>
    </row>
    <row r="611" ht="15.75" customHeight="1">
      <c r="E611" s="11"/>
      <c r="G611" s="11"/>
      <c r="H611" s="11"/>
      <c r="L611" s="11"/>
    </row>
    <row r="612" ht="15.75" customHeight="1">
      <c r="E612" s="11"/>
      <c r="G612" s="11"/>
      <c r="H612" s="11"/>
      <c r="L612" s="11"/>
    </row>
    <row r="613" ht="15.75" customHeight="1">
      <c r="E613" s="11"/>
      <c r="G613" s="11"/>
      <c r="H613" s="11"/>
      <c r="L613" s="11"/>
    </row>
    <row r="614" ht="15.75" customHeight="1">
      <c r="E614" s="11"/>
      <c r="G614" s="11"/>
      <c r="H614" s="11"/>
      <c r="L614" s="11"/>
    </row>
    <row r="615" ht="15.75" customHeight="1">
      <c r="E615" s="11"/>
      <c r="G615" s="11"/>
      <c r="H615" s="11"/>
      <c r="L615" s="11"/>
    </row>
    <row r="616" ht="15.75" customHeight="1">
      <c r="E616" s="11"/>
      <c r="G616" s="11"/>
      <c r="H616" s="11"/>
      <c r="L616" s="11"/>
    </row>
    <row r="617" ht="15.75" customHeight="1">
      <c r="E617" s="11"/>
      <c r="G617" s="11"/>
      <c r="H617" s="11"/>
      <c r="L617" s="11"/>
    </row>
    <row r="618" ht="15.75" customHeight="1">
      <c r="E618" s="11"/>
      <c r="G618" s="11"/>
      <c r="H618" s="11"/>
      <c r="L618" s="11"/>
    </row>
    <row r="619" ht="15.75" customHeight="1">
      <c r="E619" s="11"/>
      <c r="G619" s="11"/>
      <c r="H619" s="11"/>
      <c r="L619" s="11"/>
    </row>
    <row r="620" ht="15.75" customHeight="1">
      <c r="E620" s="11"/>
      <c r="G620" s="11"/>
      <c r="H620" s="11"/>
      <c r="L620" s="11"/>
    </row>
    <row r="621" ht="15.75" customHeight="1">
      <c r="E621" s="11"/>
      <c r="G621" s="11"/>
      <c r="H621" s="11"/>
      <c r="L621" s="11"/>
    </row>
    <row r="622" ht="15.75" customHeight="1">
      <c r="E622" s="11"/>
      <c r="G622" s="11"/>
      <c r="H622" s="11"/>
      <c r="L622" s="11"/>
    </row>
    <row r="623" ht="15.75" customHeight="1">
      <c r="E623" s="11"/>
      <c r="G623" s="11"/>
      <c r="H623" s="11"/>
      <c r="L623" s="11"/>
    </row>
    <row r="624" ht="15.75" customHeight="1">
      <c r="E624" s="11"/>
      <c r="G624" s="11"/>
      <c r="H624" s="11"/>
      <c r="L624" s="11"/>
    </row>
    <row r="625" ht="15.75" customHeight="1">
      <c r="E625" s="11"/>
      <c r="G625" s="11"/>
      <c r="H625" s="11"/>
      <c r="L625" s="11"/>
    </row>
    <row r="626" ht="15.75" customHeight="1">
      <c r="E626" s="11"/>
      <c r="G626" s="11"/>
      <c r="H626" s="11"/>
      <c r="L626" s="11"/>
    </row>
    <row r="627" ht="15.75" customHeight="1">
      <c r="E627" s="11"/>
      <c r="G627" s="11"/>
      <c r="H627" s="11"/>
      <c r="L627" s="11"/>
    </row>
    <row r="628" ht="15.75" customHeight="1">
      <c r="E628" s="11"/>
      <c r="G628" s="11"/>
      <c r="H628" s="11"/>
      <c r="L628" s="11"/>
    </row>
    <row r="629" ht="15.75" customHeight="1">
      <c r="E629" s="11"/>
      <c r="G629" s="11"/>
      <c r="H629" s="11"/>
      <c r="L629" s="11"/>
    </row>
    <row r="630" ht="15.75" customHeight="1">
      <c r="E630" s="11"/>
      <c r="G630" s="11"/>
      <c r="H630" s="11"/>
      <c r="L630" s="11"/>
    </row>
    <row r="631" ht="15.75" customHeight="1">
      <c r="E631" s="11"/>
      <c r="G631" s="11"/>
      <c r="H631" s="11"/>
      <c r="L631" s="11"/>
    </row>
    <row r="632" ht="15.75" customHeight="1">
      <c r="E632" s="11"/>
      <c r="G632" s="11"/>
      <c r="H632" s="11"/>
      <c r="L632" s="11"/>
    </row>
    <row r="633" ht="15.75" customHeight="1">
      <c r="E633" s="11"/>
      <c r="G633" s="11"/>
      <c r="H633" s="11"/>
      <c r="L633" s="11"/>
    </row>
    <row r="634" ht="15.75" customHeight="1">
      <c r="E634" s="11"/>
      <c r="G634" s="11"/>
      <c r="H634" s="11"/>
      <c r="L634" s="11"/>
    </row>
    <row r="635" ht="15.75" customHeight="1">
      <c r="E635" s="11"/>
      <c r="G635" s="11"/>
      <c r="H635" s="11"/>
      <c r="L635" s="11"/>
    </row>
    <row r="636" ht="15.75" customHeight="1">
      <c r="E636" s="11"/>
      <c r="G636" s="11"/>
      <c r="H636" s="11"/>
      <c r="L636" s="11"/>
    </row>
    <row r="637" ht="15.75" customHeight="1">
      <c r="E637" s="11"/>
      <c r="G637" s="11"/>
      <c r="H637" s="11"/>
      <c r="L637" s="11"/>
    </row>
    <row r="638" ht="15.75" customHeight="1">
      <c r="E638" s="11"/>
      <c r="G638" s="11"/>
      <c r="H638" s="11"/>
      <c r="L638" s="11"/>
    </row>
    <row r="639" ht="15.75" customHeight="1">
      <c r="E639" s="11"/>
      <c r="G639" s="11"/>
      <c r="H639" s="11"/>
      <c r="L639" s="11"/>
    </row>
    <row r="640" ht="15.75" customHeight="1">
      <c r="E640" s="11"/>
      <c r="G640" s="11"/>
      <c r="H640" s="11"/>
      <c r="L640" s="11"/>
    </row>
    <row r="641" ht="15.75" customHeight="1">
      <c r="E641" s="11"/>
      <c r="G641" s="11"/>
      <c r="H641" s="11"/>
      <c r="L641" s="11"/>
    </row>
    <row r="642" ht="15.75" customHeight="1">
      <c r="E642" s="11"/>
      <c r="G642" s="11"/>
      <c r="H642" s="11"/>
      <c r="L642" s="11"/>
    </row>
    <row r="643" ht="15.75" customHeight="1">
      <c r="E643" s="11"/>
      <c r="G643" s="11"/>
      <c r="H643" s="11"/>
      <c r="L643" s="11"/>
    </row>
    <row r="644" ht="15.75" customHeight="1">
      <c r="E644" s="11"/>
      <c r="G644" s="11"/>
      <c r="H644" s="11"/>
      <c r="L644" s="11"/>
    </row>
    <row r="645" ht="15.75" customHeight="1">
      <c r="E645" s="11"/>
      <c r="G645" s="11"/>
      <c r="H645" s="11"/>
      <c r="L645" s="11"/>
    </row>
    <row r="646" ht="15.75" customHeight="1">
      <c r="E646" s="11"/>
      <c r="G646" s="11"/>
      <c r="H646" s="11"/>
      <c r="L646" s="11"/>
    </row>
    <row r="647" ht="15.75" customHeight="1">
      <c r="E647" s="11"/>
      <c r="G647" s="11"/>
      <c r="H647" s="11"/>
      <c r="L647" s="11"/>
    </row>
    <row r="648" ht="15.75" customHeight="1">
      <c r="E648" s="11"/>
      <c r="G648" s="11"/>
      <c r="H648" s="11"/>
      <c r="L648" s="11"/>
    </row>
    <row r="649" ht="15.75" customHeight="1">
      <c r="E649" s="11"/>
      <c r="G649" s="11"/>
      <c r="H649" s="11"/>
      <c r="L649" s="11"/>
    </row>
    <row r="650" ht="15.75" customHeight="1">
      <c r="E650" s="11"/>
      <c r="G650" s="11"/>
      <c r="H650" s="11"/>
      <c r="L650" s="11"/>
    </row>
    <row r="651" ht="15.75" customHeight="1">
      <c r="E651" s="11"/>
      <c r="G651" s="11"/>
      <c r="H651" s="11"/>
      <c r="L651" s="11"/>
    </row>
    <row r="652" ht="15.75" customHeight="1">
      <c r="E652" s="11"/>
      <c r="G652" s="11"/>
      <c r="H652" s="11"/>
      <c r="L652" s="11"/>
    </row>
    <row r="653" ht="15.75" customHeight="1">
      <c r="E653" s="11"/>
      <c r="G653" s="11"/>
      <c r="H653" s="11"/>
      <c r="L653" s="11"/>
    </row>
    <row r="654" ht="15.75" customHeight="1">
      <c r="E654" s="11"/>
      <c r="G654" s="11"/>
      <c r="H654" s="11"/>
      <c r="L654" s="11"/>
    </row>
    <row r="655" ht="15.75" customHeight="1">
      <c r="E655" s="11"/>
      <c r="G655" s="11"/>
      <c r="H655" s="11"/>
      <c r="L655" s="11"/>
    </row>
    <row r="656" ht="15.75" customHeight="1">
      <c r="E656" s="11"/>
      <c r="G656" s="11"/>
      <c r="H656" s="11"/>
      <c r="L656" s="11"/>
    </row>
    <row r="657" ht="15.75" customHeight="1">
      <c r="E657" s="11"/>
      <c r="G657" s="11"/>
      <c r="H657" s="11"/>
      <c r="L657" s="11"/>
    </row>
    <row r="658" ht="15.75" customHeight="1">
      <c r="E658" s="11"/>
      <c r="G658" s="11"/>
      <c r="H658" s="11"/>
      <c r="L658" s="11"/>
    </row>
    <row r="659" ht="15.75" customHeight="1">
      <c r="E659" s="11"/>
      <c r="G659" s="11"/>
      <c r="H659" s="11"/>
      <c r="L659" s="11"/>
    </row>
    <row r="660" ht="15.75" customHeight="1">
      <c r="E660" s="11"/>
      <c r="G660" s="11"/>
      <c r="H660" s="11"/>
      <c r="L660" s="11"/>
    </row>
    <row r="661" ht="15.75" customHeight="1">
      <c r="E661" s="11"/>
      <c r="G661" s="11"/>
      <c r="H661" s="11"/>
      <c r="L661" s="11"/>
    </row>
    <row r="662" ht="15.75" customHeight="1">
      <c r="E662" s="11"/>
      <c r="G662" s="11"/>
      <c r="H662" s="11"/>
      <c r="L662" s="11"/>
    </row>
    <row r="663" ht="15.75" customHeight="1">
      <c r="E663" s="11"/>
      <c r="G663" s="11"/>
      <c r="H663" s="11"/>
      <c r="L663" s="11"/>
    </row>
    <row r="664" ht="15.75" customHeight="1">
      <c r="E664" s="11"/>
      <c r="G664" s="11"/>
      <c r="H664" s="11"/>
      <c r="L664" s="11"/>
    </row>
    <row r="665" ht="15.75" customHeight="1">
      <c r="E665" s="11"/>
      <c r="G665" s="11"/>
      <c r="H665" s="11"/>
      <c r="L665" s="11"/>
    </row>
    <row r="666" ht="15.75" customHeight="1">
      <c r="E666" s="11"/>
      <c r="G666" s="11"/>
      <c r="H666" s="11"/>
      <c r="L666" s="11"/>
    </row>
    <row r="667" ht="15.75" customHeight="1">
      <c r="E667" s="11"/>
      <c r="G667" s="11"/>
      <c r="H667" s="11"/>
      <c r="L667" s="11"/>
    </row>
    <row r="668" ht="15.75" customHeight="1">
      <c r="E668" s="11"/>
      <c r="G668" s="11"/>
      <c r="H668" s="11"/>
      <c r="L668" s="11"/>
    </row>
    <row r="669" ht="15.75" customHeight="1">
      <c r="E669" s="11"/>
      <c r="G669" s="11"/>
      <c r="H669" s="11"/>
      <c r="L669" s="11"/>
    </row>
    <row r="670" ht="15.75" customHeight="1">
      <c r="E670" s="11"/>
      <c r="G670" s="11"/>
      <c r="H670" s="11"/>
      <c r="L670" s="11"/>
    </row>
    <row r="671" ht="15.75" customHeight="1">
      <c r="E671" s="11"/>
      <c r="G671" s="11"/>
      <c r="H671" s="11"/>
      <c r="L671" s="11"/>
    </row>
    <row r="672" ht="15.75" customHeight="1">
      <c r="E672" s="11"/>
      <c r="G672" s="11"/>
      <c r="H672" s="11"/>
      <c r="L672" s="11"/>
    </row>
    <row r="673" ht="15.75" customHeight="1">
      <c r="E673" s="11"/>
      <c r="G673" s="11"/>
      <c r="H673" s="11"/>
      <c r="L673" s="11"/>
    </row>
    <row r="674" ht="15.75" customHeight="1">
      <c r="E674" s="11"/>
      <c r="G674" s="11"/>
      <c r="H674" s="11"/>
      <c r="L674" s="11"/>
    </row>
    <row r="675" ht="15.75" customHeight="1">
      <c r="E675" s="11"/>
      <c r="G675" s="11"/>
      <c r="H675" s="11"/>
      <c r="L675" s="11"/>
    </row>
    <row r="676" ht="15.75" customHeight="1">
      <c r="E676" s="11"/>
      <c r="G676" s="11"/>
      <c r="H676" s="11"/>
      <c r="L676" s="11"/>
    </row>
    <row r="677" ht="15.75" customHeight="1">
      <c r="E677" s="11"/>
      <c r="G677" s="11"/>
      <c r="H677" s="11"/>
      <c r="L677" s="11"/>
    </row>
    <row r="678" ht="15.75" customHeight="1">
      <c r="E678" s="11"/>
      <c r="G678" s="11"/>
      <c r="H678" s="11"/>
      <c r="L678" s="11"/>
    </row>
    <row r="679" ht="15.75" customHeight="1">
      <c r="E679" s="11"/>
      <c r="G679" s="11"/>
      <c r="H679" s="11"/>
      <c r="L679" s="11"/>
    </row>
    <row r="680" ht="15.75" customHeight="1">
      <c r="E680" s="11"/>
      <c r="G680" s="11"/>
      <c r="H680" s="11"/>
      <c r="L680" s="11"/>
    </row>
    <row r="681" ht="15.75" customHeight="1">
      <c r="E681" s="11"/>
      <c r="G681" s="11"/>
      <c r="H681" s="11"/>
      <c r="L681" s="11"/>
    </row>
    <row r="682" ht="15.75" customHeight="1">
      <c r="E682" s="11"/>
      <c r="G682" s="11"/>
      <c r="H682" s="11"/>
      <c r="L682" s="11"/>
    </row>
    <row r="683" ht="15.75" customHeight="1">
      <c r="E683" s="11"/>
      <c r="G683" s="11"/>
      <c r="H683" s="11"/>
      <c r="L683" s="11"/>
    </row>
    <row r="684" ht="15.75" customHeight="1">
      <c r="E684" s="11"/>
      <c r="G684" s="11"/>
      <c r="H684" s="11"/>
      <c r="L684" s="11"/>
    </row>
    <row r="685" ht="15.75" customHeight="1">
      <c r="E685" s="11"/>
      <c r="G685" s="11"/>
      <c r="H685" s="11"/>
      <c r="L685" s="11"/>
    </row>
    <row r="686" ht="15.75" customHeight="1">
      <c r="E686" s="11"/>
      <c r="G686" s="11"/>
      <c r="H686" s="11"/>
      <c r="L686" s="11"/>
    </row>
    <row r="687" ht="15.75" customHeight="1">
      <c r="E687" s="11"/>
      <c r="G687" s="11"/>
      <c r="H687" s="11"/>
      <c r="L687" s="11"/>
    </row>
    <row r="688" ht="15.75" customHeight="1">
      <c r="E688" s="11"/>
      <c r="G688" s="11"/>
      <c r="H688" s="11"/>
      <c r="L688" s="11"/>
    </row>
    <row r="689" ht="15.75" customHeight="1">
      <c r="E689" s="11"/>
      <c r="G689" s="11"/>
      <c r="H689" s="11"/>
      <c r="L689" s="11"/>
    </row>
    <row r="690" ht="15.75" customHeight="1">
      <c r="E690" s="11"/>
      <c r="G690" s="11"/>
      <c r="H690" s="11"/>
      <c r="L690" s="11"/>
    </row>
    <row r="691" ht="15.75" customHeight="1">
      <c r="E691" s="11"/>
      <c r="G691" s="11"/>
      <c r="H691" s="11"/>
      <c r="L691" s="11"/>
    </row>
    <row r="692" ht="15.75" customHeight="1">
      <c r="E692" s="11"/>
      <c r="G692" s="11"/>
      <c r="H692" s="11"/>
      <c r="L692" s="11"/>
    </row>
    <row r="693" ht="15.75" customHeight="1">
      <c r="E693" s="11"/>
      <c r="G693" s="11"/>
      <c r="H693" s="11"/>
      <c r="L693" s="11"/>
    </row>
    <row r="694" ht="15.75" customHeight="1">
      <c r="E694" s="11"/>
      <c r="G694" s="11"/>
      <c r="H694" s="11"/>
      <c r="L694" s="11"/>
    </row>
    <row r="695" ht="15.75" customHeight="1">
      <c r="E695" s="11"/>
      <c r="G695" s="11"/>
      <c r="H695" s="11"/>
      <c r="L695" s="11"/>
    </row>
    <row r="696" ht="15.75" customHeight="1">
      <c r="E696" s="11"/>
      <c r="G696" s="11"/>
      <c r="H696" s="11"/>
      <c r="L696" s="11"/>
    </row>
    <row r="697" ht="15.75" customHeight="1">
      <c r="E697" s="11"/>
      <c r="G697" s="11"/>
      <c r="H697" s="11"/>
      <c r="L697" s="11"/>
    </row>
    <row r="698" ht="15.75" customHeight="1">
      <c r="E698" s="11"/>
      <c r="G698" s="11"/>
      <c r="H698" s="11"/>
      <c r="L698" s="11"/>
    </row>
    <row r="699" ht="15.75" customHeight="1">
      <c r="E699" s="11"/>
      <c r="G699" s="11"/>
      <c r="H699" s="11"/>
      <c r="L699" s="11"/>
    </row>
    <row r="700" ht="15.75" customHeight="1">
      <c r="E700" s="11"/>
      <c r="G700" s="11"/>
      <c r="H700" s="11"/>
      <c r="L700" s="11"/>
    </row>
    <row r="701" ht="15.75" customHeight="1">
      <c r="E701" s="11"/>
      <c r="G701" s="11"/>
      <c r="H701" s="11"/>
      <c r="L701" s="11"/>
    </row>
    <row r="702" ht="15.75" customHeight="1">
      <c r="E702" s="11"/>
      <c r="G702" s="11"/>
      <c r="H702" s="11"/>
      <c r="L702" s="11"/>
    </row>
    <row r="703" ht="15.75" customHeight="1">
      <c r="E703" s="11"/>
      <c r="G703" s="11"/>
      <c r="H703" s="11"/>
      <c r="L703" s="11"/>
    </row>
    <row r="704" ht="15.75" customHeight="1">
      <c r="E704" s="11"/>
      <c r="G704" s="11"/>
      <c r="H704" s="11"/>
      <c r="L704" s="11"/>
    </row>
    <row r="705" ht="15.75" customHeight="1">
      <c r="E705" s="11"/>
      <c r="G705" s="11"/>
      <c r="H705" s="11"/>
      <c r="L705" s="11"/>
    </row>
    <row r="706" ht="15.75" customHeight="1">
      <c r="E706" s="11"/>
      <c r="G706" s="11"/>
      <c r="H706" s="11"/>
      <c r="L706" s="11"/>
    </row>
    <row r="707" ht="15.75" customHeight="1">
      <c r="E707" s="11"/>
      <c r="G707" s="11"/>
      <c r="H707" s="11"/>
      <c r="L707" s="11"/>
    </row>
    <row r="708" ht="15.75" customHeight="1">
      <c r="E708" s="11"/>
      <c r="G708" s="11"/>
      <c r="H708" s="11"/>
      <c r="L708" s="11"/>
    </row>
    <row r="709" ht="15.75" customHeight="1">
      <c r="E709" s="11"/>
      <c r="G709" s="11"/>
      <c r="H709" s="11"/>
      <c r="L709" s="11"/>
    </row>
    <row r="710" ht="15.75" customHeight="1">
      <c r="E710" s="11"/>
      <c r="G710" s="11"/>
      <c r="H710" s="11"/>
      <c r="L710" s="11"/>
    </row>
    <row r="711" ht="15.75" customHeight="1">
      <c r="E711" s="11"/>
      <c r="G711" s="11"/>
      <c r="H711" s="11"/>
      <c r="L711" s="11"/>
    </row>
    <row r="712" ht="15.75" customHeight="1">
      <c r="E712" s="11"/>
      <c r="G712" s="11"/>
      <c r="H712" s="11"/>
      <c r="L712" s="11"/>
    </row>
    <row r="713" ht="15.75" customHeight="1">
      <c r="E713" s="11"/>
      <c r="G713" s="11"/>
      <c r="H713" s="11"/>
      <c r="L713" s="11"/>
    </row>
    <row r="714" ht="15.75" customHeight="1">
      <c r="E714" s="11"/>
      <c r="G714" s="11"/>
      <c r="H714" s="11"/>
      <c r="L714" s="11"/>
    </row>
    <row r="715" ht="15.75" customHeight="1">
      <c r="E715" s="11"/>
      <c r="G715" s="11"/>
      <c r="H715" s="11"/>
      <c r="L715" s="11"/>
    </row>
    <row r="716" ht="15.75" customHeight="1">
      <c r="E716" s="11"/>
      <c r="G716" s="11"/>
      <c r="H716" s="11"/>
      <c r="L716" s="11"/>
    </row>
    <row r="717" ht="15.75" customHeight="1">
      <c r="E717" s="11"/>
      <c r="G717" s="11"/>
      <c r="H717" s="11"/>
      <c r="L717" s="11"/>
    </row>
    <row r="718" ht="15.75" customHeight="1">
      <c r="E718" s="11"/>
      <c r="G718" s="11"/>
      <c r="H718" s="11"/>
      <c r="L718" s="11"/>
    </row>
    <row r="719" ht="15.75" customHeight="1">
      <c r="E719" s="11"/>
      <c r="G719" s="11"/>
      <c r="H719" s="11"/>
      <c r="L719" s="11"/>
    </row>
    <row r="720" ht="15.75" customHeight="1">
      <c r="E720" s="11"/>
      <c r="G720" s="11"/>
      <c r="H720" s="11"/>
      <c r="L720" s="11"/>
    </row>
    <row r="721" ht="15.75" customHeight="1">
      <c r="E721" s="11"/>
      <c r="G721" s="11"/>
      <c r="H721" s="11"/>
      <c r="L721" s="11"/>
    </row>
    <row r="722" ht="15.75" customHeight="1">
      <c r="E722" s="11"/>
      <c r="G722" s="11"/>
      <c r="H722" s="11"/>
      <c r="L722" s="11"/>
    </row>
    <row r="723" ht="15.75" customHeight="1">
      <c r="E723" s="11"/>
      <c r="G723" s="11"/>
      <c r="H723" s="11"/>
      <c r="L723" s="11"/>
    </row>
    <row r="724" ht="15.75" customHeight="1">
      <c r="E724" s="11"/>
      <c r="G724" s="11"/>
      <c r="H724" s="11"/>
      <c r="L724" s="11"/>
    </row>
    <row r="725" ht="15.75" customHeight="1">
      <c r="E725" s="11"/>
      <c r="G725" s="11"/>
      <c r="H725" s="11"/>
      <c r="L725" s="11"/>
    </row>
    <row r="726" ht="15.75" customHeight="1">
      <c r="E726" s="11"/>
      <c r="G726" s="11"/>
      <c r="H726" s="11"/>
      <c r="L726" s="11"/>
    </row>
    <row r="727" ht="15.75" customHeight="1">
      <c r="E727" s="11"/>
      <c r="G727" s="11"/>
      <c r="H727" s="11"/>
      <c r="L727" s="11"/>
    </row>
    <row r="728" ht="15.75" customHeight="1">
      <c r="E728" s="11"/>
      <c r="G728" s="11"/>
      <c r="H728" s="11"/>
      <c r="L728" s="11"/>
    </row>
    <row r="729" ht="15.75" customHeight="1">
      <c r="E729" s="11"/>
      <c r="G729" s="11"/>
      <c r="H729" s="11"/>
      <c r="L729" s="11"/>
    </row>
    <row r="730" ht="15.75" customHeight="1">
      <c r="E730" s="11"/>
      <c r="G730" s="11"/>
      <c r="H730" s="11"/>
      <c r="L730" s="11"/>
    </row>
    <row r="731" ht="15.75" customHeight="1">
      <c r="E731" s="11"/>
      <c r="G731" s="11"/>
      <c r="H731" s="11"/>
      <c r="L731" s="11"/>
    </row>
    <row r="732" ht="15.75" customHeight="1">
      <c r="E732" s="11"/>
      <c r="G732" s="11"/>
      <c r="H732" s="11"/>
      <c r="L732" s="11"/>
    </row>
    <row r="733" ht="15.75" customHeight="1">
      <c r="E733" s="11"/>
      <c r="G733" s="11"/>
      <c r="H733" s="11"/>
      <c r="L733" s="11"/>
    </row>
    <row r="734" ht="15.75" customHeight="1">
      <c r="E734" s="11"/>
      <c r="G734" s="11"/>
      <c r="H734" s="11"/>
      <c r="L734" s="11"/>
    </row>
    <row r="735" ht="15.75" customHeight="1">
      <c r="E735" s="11"/>
      <c r="G735" s="11"/>
      <c r="H735" s="11"/>
      <c r="L735" s="11"/>
    </row>
    <row r="736" ht="15.75" customHeight="1">
      <c r="E736" s="11"/>
      <c r="G736" s="11"/>
      <c r="H736" s="11"/>
      <c r="L736" s="11"/>
    </row>
    <row r="737" ht="15.75" customHeight="1">
      <c r="E737" s="11"/>
      <c r="G737" s="11"/>
      <c r="H737" s="11"/>
      <c r="L737" s="11"/>
    </row>
    <row r="738" ht="15.75" customHeight="1">
      <c r="E738" s="11"/>
      <c r="G738" s="11"/>
      <c r="H738" s="11"/>
      <c r="L738" s="11"/>
    </row>
    <row r="739" ht="15.75" customHeight="1">
      <c r="E739" s="11"/>
      <c r="G739" s="11"/>
      <c r="H739" s="11"/>
      <c r="L739" s="11"/>
    </row>
    <row r="740" ht="15.75" customHeight="1">
      <c r="E740" s="11"/>
      <c r="G740" s="11"/>
      <c r="H740" s="11"/>
      <c r="L740" s="11"/>
    </row>
    <row r="741" ht="15.75" customHeight="1">
      <c r="E741" s="11"/>
      <c r="G741" s="11"/>
      <c r="H741" s="11"/>
      <c r="L741" s="11"/>
    </row>
    <row r="742" ht="15.75" customHeight="1">
      <c r="E742" s="11"/>
      <c r="G742" s="11"/>
      <c r="H742" s="11"/>
      <c r="L742" s="11"/>
    </row>
    <row r="743" ht="15.75" customHeight="1">
      <c r="E743" s="11"/>
      <c r="G743" s="11"/>
      <c r="H743" s="11"/>
      <c r="L743" s="11"/>
    </row>
    <row r="744" ht="15.75" customHeight="1">
      <c r="E744" s="11"/>
      <c r="G744" s="11"/>
      <c r="H744" s="11"/>
      <c r="L744" s="11"/>
    </row>
    <row r="745" ht="15.75" customHeight="1">
      <c r="E745" s="11"/>
      <c r="G745" s="11"/>
      <c r="H745" s="11"/>
      <c r="L745" s="11"/>
    </row>
    <row r="746" ht="15.75" customHeight="1">
      <c r="E746" s="11"/>
      <c r="G746" s="11"/>
      <c r="H746" s="11"/>
      <c r="L746" s="11"/>
    </row>
    <row r="747" ht="15.75" customHeight="1">
      <c r="E747" s="11"/>
      <c r="G747" s="11"/>
      <c r="H747" s="11"/>
      <c r="L747" s="11"/>
    </row>
    <row r="748" ht="15.75" customHeight="1">
      <c r="E748" s="11"/>
      <c r="G748" s="11"/>
      <c r="H748" s="11"/>
      <c r="L748" s="11"/>
    </row>
    <row r="749" ht="15.75" customHeight="1">
      <c r="E749" s="11"/>
      <c r="G749" s="11"/>
      <c r="H749" s="11"/>
      <c r="L749" s="11"/>
    </row>
    <row r="750" ht="15.75" customHeight="1">
      <c r="E750" s="11"/>
      <c r="G750" s="11"/>
      <c r="H750" s="11"/>
      <c r="L750" s="11"/>
    </row>
    <row r="751" ht="15.75" customHeight="1">
      <c r="E751" s="11"/>
      <c r="G751" s="11"/>
      <c r="H751" s="11"/>
      <c r="L751" s="11"/>
    </row>
    <row r="752" ht="15.75" customHeight="1">
      <c r="E752" s="11"/>
      <c r="G752" s="11"/>
      <c r="H752" s="11"/>
      <c r="L752" s="11"/>
    </row>
    <row r="753" ht="15.75" customHeight="1">
      <c r="E753" s="11"/>
      <c r="G753" s="11"/>
      <c r="H753" s="11"/>
      <c r="L753" s="11"/>
    </row>
    <row r="754" ht="15.75" customHeight="1">
      <c r="E754" s="11"/>
      <c r="G754" s="11"/>
      <c r="H754" s="11"/>
      <c r="L754" s="11"/>
    </row>
    <row r="755" ht="15.75" customHeight="1">
      <c r="E755" s="11"/>
      <c r="G755" s="11"/>
      <c r="H755" s="11"/>
      <c r="L755" s="11"/>
    </row>
    <row r="756" ht="15.75" customHeight="1">
      <c r="E756" s="11"/>
      <c r="G756" s="11"/>
      <c r="H756" s="11"/>
      <c r="L756" s="11"/>
    </row>
    <row r="757" ht="15.75" customHeight="1">
      <c r="E757" s="11"/>
      <c r="G757" s="11"/>
      <c r="H757" s="11"/>
      <c r="L757" s="11"/>
    </row>
    <row r="758" ht="15.75" customHeight="1">
      <c r="E758" s="11"/>
      <c r="G758" s="11"/>
      <c r="H758" s="11"/>
      <c r="L758" s="11"/>
    </row>
    <row r="759" ht="15.75" customHeight="1">
      <c r="E759" s="11"/>
      <c r="G759" s="11"/>
      <c r="H759" s="11"/>
      <c r="L759" s="11"/>
    </row>
    <row r="760" ht="15.75" customHeight="1">
      <c r="E760" s="11"/>
      <c r="G760" s="11"/>
      <c r="H760" s="11"/>
      <c r="L760" s="11"/>
    </row>
    <row r="761" ht="15.75" customHeight="1">
      <c r="E761" s="11"/>
      <c r="G761" s="11"/>
      <c r="H761" s="11"/>
      <c r="L761" s="11"/>
    </row>
    <row r="762" ht="15.75" customHeight="1">
      <c r="E762" s="11"/>
      <c r="G762" s="11"/>
      <c r="H762" s="11"/>
      <c r="L762" s="11"/>
    </row>
    <row r="763" ht="15.75" customHeight="1">
      <c r="E763" s="11"/>
      <c r="G763" s="11"/>
      <c r="H763" s="11"/>
      <c r="L763" s="11"/>
    </row>
    <row r="764" ht="15.75" customHeight="1">
      <c r="E764" s="11"/>
      <c r="G764" s="11"/>
      <c r="H764" s="11"/>
      <c r="L764" s="11"/>
    </row>
    <row r="765" ht="15.75" customHeight="1">
      <c r="E765" s="11"/>
      <c r="G765" s="11"/>
      <c r="H765" s="11"/>
      <c r="L765" s="11"/>
    </row>
    <row r="766" ht="15.75" customHeight="1">
      <c r="E766" s="11"/>
      <c r="G766" s="11"/>
      <c r="H766" s="11"/>
      <c r="L766" s="11"/>
    </row>
    <row r="767" ht="15.75" customHeight="1">
      <c r="E767" s="11"/>
      <c r="G767" s="11"/>
      <c r="H767" s="11"/>
      <c r="L767" s="11"/>
    </row>
    <row r="768" ht="15.75" customHeight="1">
      <c r="E768" s="11"/>
      <c r="G768" s="11"/>
      <c r="H768" s="11"/>
      <c r="L768" s="11"/>
    </row>
    <row r="769" ht="15.75" customHeight="1">
      <c r="E769" s="11"/>
      <c r="G769" s="11"/>
      <c r="H769" s="11"/>
      <c r="L769" s="11"/>
    </row>
    <row r="770" ht="15.75" customHeight="1">
      <c r="E770" s="11"/>
      <c r="G770" s="11"/>
      <c r="H770" s="11"/>
      <c r="L770" s="11"/>
    </row>
    <row r="771" ht="15.75" customHeight="1">
      <c r="E771" s="11"/>
      <c r="G771" s="11"/>
      <c r="H771" s="11"/>
      <c r="L771" s="11"/>
    </row>
    <row r="772" ht="15.75" customHeight="1">
      <c r="E772" s="11"/>
      <c r="G772" s="11"/>
      <c r="H772" s="11"/>
      <c r="L772" s="11"/>
    </row>
    <row r="773" ht="15.75" customHeight="1">
      <c r="E773" s="11"/>
      <c r="G773" s="11"/>
      <c r="H773" s="11"/>
      <c r="L773" s="11"/>
    </row>
    <row r="774" ht="15.75" customHeight="1">
      <c r="E774" s="11"/>
      <c r="G774" s="11"/>
      <c r="H774" s="11"/>
      <c r="L774" s="11"/>
    </row>
    <row r="775" ht="15.75" customHeight="1">
      <c r="E775" s="11"/>
      <c r="G775" s="11"/>
      <c r="H775" s="11"/>
      <c r="L775" s="11"/>
    </row>
    <row r="776" ht="15.75" customHeight="1">
      <c r="E776" s="11"/>
      <c r="G776" s="11"/>
      <c r="H776" s="11"/>
      <c r="L776" s="11"/>
    </row>
    <row r="777" ht="15.75" customHeight="1">
      <c r="E777" s="11"/>
      <c r="G777" s="11"/>
      <c r="H777" s="11"/>
      <c r="L777" s="11"/>
    </row>
    <row r="778" ht="15.75" customHeight="1">
      <c r="E778" s="11"/>
      <c r="G778" s="11"/>
      <c r="H778" s="11"/>
      <c r="L778" s="11"/>
    </row>
    <row r="779" ht="15.75" customHeight="1">
      <c r="E779" s="11"/>
      <c r="G779" s="11"/>
      <c r="H779" s="11"/>
      <c r="L779" s="11"/>
    </row>
    <row r="780" ht="15.75" customHeight="1">
      <c r="E780" s="11"/>
      <c r="G780" s="11"/>
      <c r="H780" s="11"/>
      <c r="L780" s="11"/>
    </row>
    <row r="781" ht="15.75" customHeight="1">
      <c r="E781" s="11"/>
      <c r="G781" s="11"/>
      <c r="H781" s="11"/>
      <c r="L781" s="11"/>
    </row>
    <row r="782" ht="15.75" customHeight="1">
      <c r="E782" s="11"/>
      <c r="G782" s="11"/>
      <c r="H782" s="11"/>
      <c r="L782" s="11"/>
    </row>
    <row r="783" ht="15.75" customHeight="1">
      <c r="E783" s="11"/>
      <c r="G783" s="11"/>
      <c r="H783" s="11"/>
      <c r="L783" s="11"/>
    </row>
    <row r="784" ht="15.75" customHeight="1">
      <c r="E784" s="11"/>
      <c r="G784" s="11"/>
      <c r="H784" s="11"/>
      <c r="L784" s="11"/>
    </row>
    <row r="785" ht="15.75" customHeight="1">
      <c r="E785" s="11"/>
      <c r="G785" s="11"/>
      <c r="H785" s="11"/>
      <c r="L785" s="11"/>
    </row>
    <row r="786" ht="15.75" customHeight="1">
      <c r="E786" s="11"/>
      <c r="G786" s="11"/>
      <c r="H786" s="11"/>
      <c r="L786" s="11"/>
    </row>
    <row r="787" ht="15.75" customHeight="1">
      <c r="E787" s="11"/>
      <c r="G787" s="11"/>
      <c r="H787" s="11"/>
      <c r="L787" s="11"/>
    </row>
    <row r="788" ht="15.75" customHeight="1">
      <c r="E788" s="11"/>
      <c r="G788" s="11"/>
      <c r="H788" s="11"/>
      <c r="L788" s="11"/>
    </row>
    <row r="789" ht="15.75" customHeight="1">
      <c r="E789" s="11"/>
      <c r="G789" s="11"/>
      <c r="H789" s="11"/>
      <c r="L789" s="11"/>
    </row>
    <row r="790" ht="15.75" customHeight="1">
      <c r="E790" s="11"/>
      <c r="G790" s="11"/>
      <c r="H790" s="11"/>
      <c r="L790" s="11"/>
    </row>
    <row r="791" ht="15.75" customHeight="1">
      <c r="E791" s="11"/>
      <c r="G791" s="11"/>
      <c r="H791" s="11"/>
      <c r="L791" s="11"/>
    </row>
    <row r="792" ht="15.75" customHeight="1">
      <c r="E792" s="11"/>
      <c r="G792" s="11"/>
      <c r="H792" s="11"/>
      <c r="L792" s="11"/>
    </row>
    <row r="793" ht="15.75" customHeight="1">
      <c r="E793" s="11"/>
      <c r="G793" s="11"/>
      <c r="H793" s="11"/>
      <c r="L793" s="11"/>
    </row>
    <row r="794" ht="15.75" customHeight="1">
      <c r="E794" s="11"/>
      <c r="G794" s="11"/>
      <c r="H794" s="11"/>
      <c r="L794" s="11"/>
    </row>
    <row r="795" ht="15.75" customHeight="1">
      <c r="E795" s="11"/>
      <c r="G795" s="11"/>
      <c r="H795" s="11"/>
      <c r="L795" s="11"/>
    </row>
    <row r="796" ht="15.75" customHeight="1">
      <c r="E796" s="11"/>
      <c r="G796" s="11"/>
      <c r="H796" s="11"/>
      <c r="L796" s="11"/>
    </row>
    <row r="797" ht="15.75" customHeight="1">
      <c r="E797" s="11"/>
      <c r="G797" s="11"/>
      <c r="H797" s="11"/>
      <c r="L797" s="11"/>
    </row>
    <row r="798" ht="15.75" customHeight="1">
      <c r="E798" s="11"/>
      <c r="G798" s="11"/>
      <c r="H798" s="11"/>
      <c r="L798" s="11"/>
    </row>
    <row r="799" ht="15.75" customHeight="1">
      <c r="E799" s="11"/>
      <c r="G799" s="11"/>
      <c r="H799" s="11"/>
      <c r="L799" s="11"/>
    </row>
    <row r="800" ht="15.75" customHeight="1">
      <c r="E800" s="11"/>
      <c r="G800" s="11"/>
      <c r="H800" s="11"/>
      <c r="L800" s="11"/>
    </row>
    <row r="801" ht="15.75" customHeight="1">
      <c r="E801" s="11"/>
      <c r="G801" s="11"/>
      <c r="H801" s="11"/>
      <c r="L801" s="11"/>
    </row>
    <row r="802" ht="15.75" customHeight="1">
      <c r="E802" s="11"/>
      <c r="G802" s="11"/>
      <c r="H802" s="11"/>
      <c r="L802" s="11"/>
    </row>
    <row r="803" ht="15.75" customHeight="1">
      <c r="E803" s="11"/>
      <c r="G803" s="11"/>
      <c r="H803" s="11"/>
      <c r="L803" s="11"/>
    </row>
    <row r="804" ht="15.75" customHeight="1">
      <c r="E804" s="11"/>
      <c r="G804" s="11"/>
      <c r="H804" s="11"/>
      <c r="L804" s="11"/>
    </row>
    <row r="805" ht="15.75" customHeight="1">
      <c r="E805" s="11"/>
      <c r="G805" s="11"/>
      <c r="H805" s="11"/>
      <c r="L805" s="11"/>
    </row>
    <row r="806" ht="15.75" customHeight="1">
      <c r="E806" s="11"/>
      <c r="G806" s="11"/>
      <c r="H806" s="11"/>
      <c r="L806" s="11"/>
    </row>
    <row r="807" ht="15.75" customHeight="1">
      <c r="E807" s="11"/>
      <c r="G807" s="11"/>
      <c r="H807" s="11"/>
      <c r="L807" s="11"/>
    </row>
    <row r="808" ht="15.75" customHeight="1">
      <c r="E808" s="11"/>
      <c r="G808" s="11"/>
      <c r="H808" s="11"/>
      <c r="L808" s="11"/>
    </row>
    <row r="809" ht="15.75" customHeight="1">
      <c r="E809" s="11"/>
      <c r="G809" s="11"/>
      <c r="H809" s="11"/>
      <c r="L809" s="11"/>
    </row>
    <row r="810" ht="15.75" customHeight="1">
      <c r="E810" s="11"/>
      <c r="G810" s="11"/>
      <c r="H810" s="11"/>
      <c r="L810" s="11"/>
    </row>
    <row r="811" ht="15.75" customHeight="1">
      <c r="E811" s="11"/>
      <c r="G811" s="11"/>
      <c r="H811" s="11"/>
      <c r="L811" s="11"/>
    </row>
    <row r="812" ht="15.75" customHeight="1">
      <c r="E812" s="11"/>
      <c r="G812" s="11"/>
      <c r="H812" s="11"/>
      <c r="L812" s="11"/>
    </row>
    <row r="813" ht="15.75" customHeight="1">
      <c r="E813" s="11"/>
      <c r="G813" s="11"/>
      <c r="H813" s="11"/>
      <c r="L813" s="11"/>
    </row>
    <row r="814" ht="15.75" customHeight="1">
      <c r="E814" s="11"/>
      <c r="G814" s="11"/>
      <c r="H814" s="11"/>
      <c r="L814" s="11"/>
    </row>
    <row r="815" ht="15.75" customHeight="1">
      <c r="E815" s="11"/>
      <c r="G815" s="11"/>
      <c r="H815" s="11"/>
      <c r="L815" s="11"/>
    </row>
    <row r="816" ht="15.75" customHeight="1">
      <c r="E816" s="11"/>
      <c r="G816" s="11"/>
      <c r="H816" s="11"/>
      <c r="L816" s="11"/>
    </row>
    <row r="817" ht="15.75" customHeight="1">
      <c r="E817" s="11"/>
      <c r="G817" s="11"/>
      <c r="H817" s="11"/>
      <c r="L817" s="11"/>
    </row>
    <row r="818" ht="15.75" customHeight="1">
      <c r="E818" s="11"/>
      <c r="G818" s="11"/>
      <c r="H818" s="11"/>
      <c r="L818" s="11"/>
    </row>
    <row r="819" ht="15.75" customHeight="1">
      <c r="E819" s="11"/>
      <c r="G819" s="11"/>
      <c r="H819" s="11"/>
      <c r="L819" s="11"/>
    </row>
    <row r="820" ht="15.75" customHeight="1">
      <c r="E820" s="11"/>
      <c r="G820" s="11"/>
      <c r="H820" s="11"/>
      <c r="L820" s="11"/>
    </row>
    <row r="821" ht="15.75" customHeight="1">
      <c r="E821" s="11"/>
      <c r="G821" s="11"/>
      <c r="H821" s="11"/>
      <c r="L821" s="11"/>
    </row>
    <row r="822" ht="15.75" customHeight="1">
      <c r="E822" s="11"/>
      <c r="G822" s="11"/>
      <c r="H822" s="11"/>
      <c r="L822" s="11"/>
    </row>
    <row r="823" ht="15.75" customHeight="1">
      <c r="E823" s="11"/>
      <c r="G823" s="11"/>
      <c r="H823" s="11"/>
      <c r="L823" s="11"/>
    </row>
    <row r="824" ht="15.75" customHeight="1">
      <c r="E824" s="11"/>
      <c r="G824" s="11"/>
      <c r="H824" s="11"/>
      <c r="L824" s="11"/>
    </row>
    <row r="825" ht="15.75" customHeight="1">
      <c r="E825" s="11"/>
      <c r="G825" s="11"/>
      <c r="H825" s="11"/>
      <c r="L825" s="11"/>
    </row>
    <row r="826" ht="15.75" customHeight="1">
      <c r="E826" s="11"/>
      <c r="G826" s="11"/>
      <c r="H826" s="11"/>
      <c r="L826" s="11"/>
    </row>
    <row r="827" ht="15.75" customHeight="1">
      <c r="E827" s="11"/>
      <c r="G827" s="11"/>
      <c r="H827" s="11"/>
      <c r="L827" s="11"/>
    </row>
    <row r="828" ht="15.75" customHeight="1">
      <c r="E828" s="11"/>
      <c r="G828" s="11"/>
      <c r="H828" s="11"/>
      <c r="L828" s="11"/>
    </row>
    <row r="829" ht="15.75" customHeight="1">
      <c r="E829" s="11"/>
      <c r="G829" s="11"/>
      <c r="H829" s="11"/>
      <c r="L829" s="11"/>
    </row>
    <row r="830" ht="15.75" customHeight="1">
      <c r="E830" s="11"/>
      <c r="G830" s="11"/>
      <c r="H830" s="11"/>
      <c r="L830" s="11"/>
    </row>
    <row r="831" ht="15.75" customHeight="1">
      <c r="E831" s="11"/>
      <c r="G831" s="11"/>
      <c r="H831" s="11"/>
      <c r="L831" s="11"/>
    </row>
    <row r="832" ht="15.75" customHeight="1">
      <c r="E832" s="11"/>
      <c r="G832" s="11"/>
      <c r="H832" s="11"/>
      <c r="L832" s="11"/>
    </row>
    <row r="833" ht="15.75" customHeight="1">
      <c r="E833" s="11"/>
      <c r="G833" s="11"/>
      <c r="H833" s="11"/>
      <c r="L833" s="11"/>
    </row>
    <row r="834" ht="15.75" customHeight="1">
      <c r="E834" s="11"/>
      <c r="G834" s="11"/>
      <c r="H834" s="11"/>
      <c r="L834" s="11"/>
    </row>
    <row r="835" ht="15.75" customHeight="1">
      <c r="E835" s="11"/>
      <c r="G835" s="11"/>
      <c r="H835" s="11"/>
      <c r="L835" s="11"/>
    </row>
    <row r="836" ht="15.75" customHeight="1">
      <c r="E836" s="11"/>
      <c r="G836" s="11"/>
      <c r="H836" s="11"/>
      <c r="L836" s="11"/>
    </row>
    <row r="837" ht="15.75" customHeight="1">
      <c r="E837" s="11"/>
      <c r="G837" s="11"/>
      <c r="H837" s="11"/>
      <c r="L837" s="11"/>
    </row>
    <row r="838" ht="15.75" customHeight="1">
      <c r="E838" s="11"/>
      <c r="G838" s="11"/>
      <c r="H838" s="11"/>
      <c r="L838" s="11"/>
    </row>
    <row r="839" ht="15.75" customHeight="1">
      <c r="E839" s="11"/>
      <c r="G839" s="11"/>
      <c r="H839" s="11"/>
      <c r="L839" s="11"/>
    </row>
    <row r="840" ht="15.75" customHeight="1">
      <c r="E840" s="11"/>
      <c r="G840" s="11"/>
      <c r="H840" s="11"/>
      <c r="L840" s="11"/>
    </row>
    <row r="841" ht="15.75" customHeight="1">
      <c r="E841" s="11"/>
      <c r="G841" s="11"/>
      <c r="H841" s="11"/>
      <c r="L841" s="11"/>
    </row>
    <row r="842" ht="15.75" customHeight="1">
      <c r="E842" s="11"/>
      <c r="G842" s="11"/>
      <c r="H842" s="11"/>
      <c r="L842" s="11"/>
    </row>
    <row r="843" ht="15.75" customHeight="1">
      <c r="E843" s="11"/>
      <c r="G843" s="11"/>
      <c r="H843" s="11"/>
      <c r="L843" s="11"/>
    </row>
    <row r="844" ht="15.75" customHeight="1">
      <c r="E844" s="11"/>
      <c r="G844" s="11"/>
      <c r="H844" s="11"/>
      <c r="L844" s="11"/>
    </row>
    <row r="845" ht="15.75" customHeight="1">
      <c r="E845" s="11"/>
      <c r="G845" s="11"/>
      <c r="H845" s="11"/>
      <c r="L845" s="11"/>
    </row>
    <row r="846" ht="15.75" customHeight="1">
      <c r="E846" s="11"/>
      <c r="G846" s="11"/>
      <c r="H846" s="11"/>
      <c r="L846" s="11"/>
    </row>
    <row r="847" ht="15.75" customHeight="1">
      <c r="E847" s="11"/>
      <c r="G847" s="11"/>
      <c r="H847" s="11"/>
      <c r="L847" s="11"/>
    </row>
    <row r="848" ht="15.75" customHeight="1">
      <c r="E848" s="11"/>
      <c r="G848" s="11"/>
      <c r="H848" s="11"/>
      <c r="L848" s="11"/>
    </row>
    <row r="849" ht="15.75" customHeight="1">
      <c r="E849" s="11"/>
      <c r="G849" s="11"/>
      <c r="H849" s="11"/>
      <c r="L849" s="11"/>
    </row>
    <row r="850" ht="15.75" customHeight="1">
      <c r="E850" s="11"/>
      <c r="G850" s="11"/>
      <c r="H850" s="11"/>
      <c r="L850" s="11"/>
    </row>
    <row r="851" ht="15.75" customHeight="1">
      <c r="E851" s="11"/>
      <c r="G851" s="11"/>
      <c r="H851" s="11"/>
      <c r="L851" s="11"/>
    </row>
    <row r="852" ht="15.75" customHeight="1">
      <c r="E852" s="11"/>
      <c r="G852" s="11"/>
      <c r="H852" s="11"/>
      <c r="L852" s="11"/>
    </row>
    <row r="853" ht="15.75" customHeight="1">
      <c r="E853" s="11"/>
      <c r="G853" s="11"/>
      <c r="H853" s="11"/>
      <c r="L853" s="11"/>
    </row>
    <row r="854" ht="15.75" customHeight="1">
      <c r="E854" s="11"/>
      <c r="G854" s="11"/>
      <c r="H854" s="11"/>
      <c r="L854" s="11"/>
    </row>
    <row r="855" ht="15.75" customHeight="1">
      <c r="E855" s="11"/>
      <c r="G855" s="11"/>
      <c r="H855" s="11"/>
      <c r="L855" s="11"/>
    </row>
    <row r="856" ht="15.75" customHeight="1">
      <c r="E856" s="11"/>
      <c r="G856" s="11"/>
      <c r="H856" s="11"/>
      <c r="L856" s="11"/>
    </row>
    <row r="857" ht="15.75" customHeight="1">
      <c r="E857" s="11"/>
      <c r="G857" s="11"/>
      <c r="H857" s="11"/>
      <c r="L857" s="11"/>
    </row>
    <row r="858" ht="15.75" customHeight="1">
      <c r="E858" s="11"/>
      <c r="G858" s="11"/>
      <c r="H858" s="11"/>
      <c r="L858" s="11"/>
    </row>
    <row r="859" ht="15.75" customHeight="1">
      <c r="E859" s="11"/>
      <c r="G859" s="11"/>
      <c r="H859" s="11"/>
      <c r="L859" s="11"/>
    </row>
    <row r="860" ht="15.75" customHeight="1">
      <c r="E860" s="11"/>
      <c r="G860" s="11"/>
      <c r="H860" s="11"/>
      <c r="L860" s="11"/>
    </row>
    <row r="861" ht="15.75" customHeight="1">
      <c r="E861" s="11"/>
      <c r="G861" s="11"/>
      <c r="H861" s="11"/>
      <c r="L861" s="11"/>
    </row>
    <row r="862" ht="15.75" customHeight="1">
      <c r="E862" s="11"/>
      <c r="G862" s="11"/>
      <c r="H862" s="11"/>
      <c r="L862" s="11"/>
    </row>
    <row r="863" ht="15.75" customHeight="1">
      <c r="E863" s="11"/>
      <c r="G863" s="11"/>
      <c r="H863" s="11"/>
      <c r="L863" s="11"/>
    </row>
    <row r="864" ht="15.75" customHeight="1">
      <c r="E864" s="11"/>
      <c r="G864" s="11"/>
      <c r="H864" s="11"/>
      <c r="L864" s="11"/>
    </row>
    <row r="865" ht="15.75" customHeight="1">
      <c r="E865" s="11"/>
      <c r="G865" s="11"/>
      <c r="H865" s="11"/>
      <c r="L865" s="11"/>
    </row>
    <row r="866" ht="15.75" customHeight="1">
      <c r="E866" s="11"/>
      <c r="G866" s="11"/>
      <c r="H866" s="11"/>
      <c r="L866" s="11"/>
    </row>
    <row r="867" ht="15.75" customHeight="1">
      <c r="E867" s="11"/>
      <c r="G867" s="11"/>
      <c r="H867" s="11"/>
      <c r="L867" s="11"/>
    </row>
    <row r="868" ht="15.75" customHeight="1">
      <c r="E868" s="11"/>
      <c r="G868" s="11"/>
      <c r="H868" s="11"/>
      <c r="L868" s="11"/>
    </row>
    <row r="869" ht="15.75" customHeight="1">
      <c r="E869" s="11"/>
      <c r="G869" s="11"/>
      <c r="H869" s="11"/>
      <c r="L869" s="11"/>
    </row>
    <row r="870" ht="15.75" customHeight="1">
      <c r="E870" s="11"/>
      <c r="G870" s="11"/>
      <c r="H870" s="11"/>
      <c r="L870" s="11"/>
    </row>
    <row r="871" ht="15.75" customHeight="1">
      <c r="E871" s="11"/>
      <c r="G871" s="11"/>
      <c r="H871" s="11"/>
      <c r="L871" s="11"/>
    </row>
    <row r="872" ht="15.75" customHeight="1">
      <c r="E872" s="11"/>
      <c r="G872" s="11"/>
      <c r="H872" s="11"/>
      <c r="L872" s="11"/>
    </row>
    <row r="873" ht="15.75" customHeight="1">
      <c r="E873" s="11"/>
      <c r="G873" s="11"/>
      <c r="H873" s="11"/>
      <c r="L873" s="11"/>
    </row>
    <row r="874" ht="15.75" customHeight="1">
      <c r="E874" s="11"/>
      <c r="G874" s="11"/>
      <c r="H874" s="11"/>
      <c r="L874" s="11"/>
    </row>
    <row r="875" ht="15.75" customHeight="1">
      <c r="E875" s="11"/>
      <c r="G875" s="11"/>
      <c r="H875" s="11"/>
      <c r="L875" s="11"/>
    </row>
    <row r="876" ht="15.75" customHeight="1">
      <c r="E876" s="11"/>
      <c r="G876" s="11"/>
      <c r="H876" s="11"/>
      <c r="L876" s="11"/>
    </row>
    <row r="877" ht="15.75" customHeight="1">
      <c r="E877" s="11"/>
      <c r="G877" s="11"/>
      <c r="H877" s="11"/>
      <c r="L877" s="11"/>
    </row>
    <row r="878" ht="15.75" customHeight="1">
      <c r="E878" s="11"/>
      <c r="G878" s="11"/>
      <c r="H878" s="11"/>
      <c r="L878" s="11"/>
    </row>
    <row r="879" ht="15.75" customHeight="1">
      <c r="E879" s="11"/>
      <c r="G879" s="11"/>
      <c r="H879" s="11"/>
      <c r="L879" s="11"/>
    </row>
    <row r="880" ht="15.75" customHeight="1">
      <c r="E880" s="11"/>
      <c r="G880" s="11"/>
      <c r="H880" s="11"/>
      <c r="L880" s="11"/>
    </row>
    <row r="881" ht="15.75" customHeight="1">
      <c r="E881" s="11"/>
      <c r="G881" s="11"/>
      <c r="H881" s="11"/>
      <c r="L881" s="11"/>
    </row>
    <row r="882" ht="15.75" customHeight="1">
      <c r="E882" s="11"/>
      <c r="G882" s="11"/>
      <c r="H882" s="11"/>
      <c r="L882" s="11"/>
    </row>
    <row r="883" ht="15.75" customHeight="1">
      <c r="E883" s="11"/>
      <c r="G883" s="11"/>
      <c r="H883" s="11"/>
      <c r="L883" s="11"/>
    </row>
    <row r="884" ht="15.75" customHeight="1">
      <c r="E884" s="11"/>
      <c r="G884" s="11"/>
      <c r="H884" s="11"/>
      <c r="L884" s="11"/>
    </row>
    <row r="885" ht="15.75" customHeight="1">
      <c r="E885" s="11"/>
      <c r="G885" s="11"/>
      <c r="H885" s="11"/>
      <c r="L885" s="11"/>
    </row>
    <row r="886" ht="15.75" customHeight="1">
      <c r="E886" s="11"/>
      <c r="G886" s="11"/>
      <c r="H886" s="11"/>
      <c r="L886" s="11"/>
    </row>
    <row r="887" ht="15.75" customHeight="1">
      <c r="E887" s="11"/>
      <c r="G887" s="11"/>
      <c r="H887" s="11"/>
      <c r="L887" s="11"/>
    </row>
    <row r="888" ht="15.75" customHeight="1">
      <c r="E888" s="11"/>
      <c r="G888" s="11"/>
      <c r="H888" s="11"/>
      <c r="L888" s="11"/>
    </row>
    <row r="889" ht="15.75" customHeight="1">
      <c r="E889" s="11"/>
      <c r="G889" s="11"/>
      <c r="H889" s="11"/>
      <c r="L889" s="11"/>
    </row>
    <row r="890" ht="15.75" customHeight="1">
      <c r="E890" s="11"/>
      <c r="G890" s="11"/>
      <c r="H890" s="11"/>
      <c r="L890" s="11"/>
    </row>
    <row r="891" ht="15.75" customHeight="1">
      <c r="E891" s="11"/>
      <c r="G891" s="11"/>
      <c r="H891" s="11"/>
      <c r="L891" s="11"/>
    </row>
    <row r="892" ht="15.75" customHeight="1">
      <c r="E892" s="11"/>
      <c r="G892" s="11"/>
      <c r="H892" s="11"/>
      <c r="L892" s="11"/>
    </row>
    <row r="893" ht="15.75" customHeight="1">
      <c r="E893" s="11"/>
      <c r="G893" s="11"/>
      <c r="H893" s="11"/>
      <c r="L893" s="11"/>
    </row>
    <row r="894" ht="15.75" customHeight="1">
      <c r="E894" s="11"/>
      <c r="G894" s="11"/>
      <c r="H894" s="11"/>
      <c r="L894" s="11"/>
    </row>
    <row r="895" ht="15.75" customHeight="1">
      <c r="E895" s="11"/>
      <c r="G895" s="11"/>
      <c r="H895" s="11"/>
      <c r="L895" s="11"/>
    </row>
    <row r="896" ht="15.75" customHeight="1">
      <c r="E896" s="11"/>
      <c r="G896" s="11"/>
      <c r="H896" s="11"/>
      <c r="L896" s="11"/>
    </row>
    <row r="897" ht="15.75" customHeight="1">
      <c r="E897" s="11"/>
      <c r="G897" s="11"/>
      <c r="H897" s="11"/>
      <c r="L897" s="11"/>
    </row>
    <row r="898" ht="15.75" customHeight="1">
      <c r="E898" s="11"/>
      <c r="G898" s="11"/>
      <c r="H898" s="11"/>
      <c r="L898" s="11"/>
    </row>
    <row r="899" ht="15.75" customHeight="1">
      <c r="E899" s="11"/>
      <c r="G899" s="11"/>
      <c r="H899" s="11"/>
      <c r="L899" s="11"/>
    </row>
    <row r="900" ht="15.75" customHeight="1">
      <c r="E900" s="11"/>
      <c r="G900" s="11"/>
      <c r="H900" s="11"/>
      <c r="L900" s="11"/>
    </row>
    <row r="901" ht="15.75" customHeight="1">
      <c r="E901" s="11"/>
      <c r="G901" s="11"/>
      <c r="H901" s="11"/>
      <c r="L901" s="11"/>
    </row>
    <row r="902" ht="15.75" customHeight="1">
      <c r="E902" s="11"/>
      <c r="G902" s="11"/>
      <c r="H902" s="11"/>
      <c r="L902" s="11"/>
    </row>
    <row r="903" ht="15.75" customHeight="1">
      <c r="E903" s="11"/>
      <c r="G903" s="11"/>
      <c r="H903" s="11"/>
      <c r="L903" s="11"/>
    </row>
    <row r="904" ht="15.75" customHeight="1">
      <c r="E904" s="11"/>
      <c r="G904" s="11"/>
      <c r="H904" s="11"/>
      <c r="L904" s="11"/>
    </row>
    <row r="905" ht="15.75" customHeight="1">
      <c r="E905" s="11"/>
      <c r="G905" s="11"/>
      <c r="H905" s="11"/>
      <c r="L905" s="11"/>
    </row>
    <row r="906" ht="15.75" customHeight="1">
      <c r="E906" s="11"/>
      <c r="G906" s="11"/>
      <c r="H906" s="11"/>
      <c r="L906" s="11"/>
    </row>
    <row r="907" ht="15.75" customHeight="1">
      <c r="E907" s="11"/>
      <c r="G907" s="11"/>
      <c r="H907" s="11"/>
      <c r="L907" s="11"/>
    </row>
    <row r="908" ht="15.75" customHeight="1">
      <c r="E908" s="11"/>
      <c r="G908" s="11"/>
      <c r="H908" s="11"/>
      <c r="L908" s="11"/>
    </row>
    <row r="909" ht="15.75" customHeight="1">
      <c r="E909" s="11"/>
      <c r="G909" s="11"/>
      <c r="H909" s="11"/>
      <c r="L909" s="11"/>
    </row>
    <row r="910" ht="15.75" customHeight="1">
      <c r="E910" s="11"/>
      <c r="G910" s="11"/>
      <c r="H910" s="11"/>
      <c r="L910" s="11"/>
    </row>
    <row r="911" ht="15.75" customHeight="1">
      <c r="E911" s="11"/>
      <c r="G911" s="11"/>
      <c r="H911" s="11"/>
      <c r="L911" s="11"/>
    </row>
    <row r="912" ht="15.75" customHeight="1">
      <c r="E912" s="11"/>
      <c r="G912" s="11"/>
      <c r="H912" s="11"/>
      <c r="L912" s="11"/>
    </row>
    <row r="913" ht="15.75" customHeight="1">
      <c r="E913" s="11"/>
      <c r="G913" s="11"/>
      <c r="H913" s="11"/>
      <c r="L913" s="11"/>
    </row>
    <row r="914" ht="15.75" customHeight="1">
      <c r="E914" s="11"/>
      <c r="G914" s="11"/>
      <c r="H914" s="11"/>
      <c r="L914" s="11"/>
    </row>
    <row r="915" ht="15.75" customHeight="1">
      <c r="E915" s="11"/>
      <c r="G915" s="11"/>
      <c r="H915" s="11"/>
      <c r="L915" s="11"/>
    </row>
    <row r="916" ht="15.75" customHeight="1">
      <c r="E916" s="11"/>
      <c r="G916" s="11"/>
      <c r="H916" s="11"/>
      <c r="L916" s="11"/>
    </row>
    <row r="917" ht="15.75" customHeight="1">
      <c r="E917" s="11"/>
      <c r="G917" s="11"/>
      <c r="H917" s="11"/>
      <c r="L917" s="11"/>
    </row>
    <row r="918" ht="15.75" customHeight="1">
      <c r="E918" s="11"/>
      <c r="G918" s="11"/>
      <c r="H918" s="11"/>
      <c r="L918" s="11"/>
    </row>
    <row r="919" ht="15.75" customHeight="1">
      <c r="E919" s="11"/>
      <c r="G919" s="11"/>
      <c r="H919" s="11"/>
      <c r="L919" s="11"/>
    </row>
    <row r="920" ht="15.75" customHeight="1">
      <c r="E920" s="11"/>
      <c r="G920" s="11"/>
      <c r="H920" s="11"/>
      <c r="L920" s="11"/>
    </row>
    <row r="921" ht="15.75" customHeight="1">
      <c r="E921" s="11"/>
      <c r="G921" s="11"/>
      <c r="H921" s="11"/>
      <c r="L921" s="11"/>
    </row>
    <row r="922" ht="15.75" customHeight="1">
      <c r="E922" s="11"/>
      <c r="G922" s="11"/>
      <c r="H922" s="11"/>
      <c r="L922" s="11"/>
    </row>
    <row r="923" ht="15.75" customHeight="1">
      <c r="E923" s="11"/>
      <c r="G923" s="11"/>
      <c r="H923" s="11"/>
      <c r="L923" s="11"/>
    </row>
    <row r="924" ht="15.75" customHeight="1">
      <c r="E924" s="11"/>
      <c r="G924" s="11"/>
      <c r="H924" s="11"/>
      <c r="L924" s="11"/>
    </row>
    <row r="925" ht="15.75" customHeight="1">
      <c r="E925" s="11"/>
      <c r="G925" s="11"/>
      <c r="H925" s="11"/>
      <c r="L925" s="11"/>
    </row>
    <row r="926" ht="15.75" customHeight="1">
      <c r="E926" s="11"/>
      <c r="G926" s="11"/>
      <c r="H926" s="11"/>
      <c r="L926" s="11"/>
    </row>
    <row r="927" ht="15.75" customHeight="1">
      <c r="E927" s="11"/>
      <c r="G927" s="11"/>
      <c r="H927" s="11"/>
      <c r="L927" s="11"/>
    </row>
    <row r="928" ht="15.75" customHeight="1">
      <c r="E928" s="11"/>
      <c r="G928" s="11"/>
      <c r="H928" s="11"/>
      <c r="L928" s="11"/>
    </row>
    <row r="929" ht="15.75" customHeight="1">
      <c r="E929" s="11"/>
      <c r="G929" s="11"/>
      <c r="H929" s="11"/>
      <c r="L929" s="11"/>
    </row>
    <row r="930" ht="15.75" customHeight="1">
      <c r="E930" s="11"/>
      <c r="G930" s="11"/>
      <c r="H930" s="11"/>
      <c r="L930" s="11"/>
    </row>
    <row r="931" ht="15.75" customHeight="1">
      <c r="E931" s="11"/>
      <c r="G931" s="11"/>
      <c r="H931" s="11"/>
      <c r="L931" s="11"/>
    </row>
    <row r="932" ht="15.75" customHeight="1">
      <c r="E932" s="11"/>
      <c r="G932" s="11"/>
      <c r="H932" s="11"/>
      <c r="L932" s="11"/>
    </row>
    <row r="933" ht="15.75" customHeight="1">
      <c r="E933" s="11"/>
      <c r="G933" s="11"/>
      <c r="H933" s="11"/>
      <c r="L933" s="11"/>
    </row>
    <row r="934" ht="15.75" customHeight="1">
      <c r="E934" s="11"/>
      <c r="G934" s="11"/>
      <c r="H934" s="11"/>
      <c r="L934" s="11"/>
    </row>
    <row r="935" ht="15.75" customHeight="1">
      <c r="E935" s="11"/>
      <c r="G935" s="11"/>
      <c r="H935" s="11"/>
      <c r="L935" s="11"/>
    </row>
    <row r="936" ht="15.75" customHeight="1">
      <c r="E936" s="11"/>
      <c r="G936" s="11"/>
      <c r="H936" s="11"/>
      <c r="L936" s="11"/>
    </row>
    <row r="937" ht="15.75" customHeight="1">
      <c r="E937" s="11"/>
      <c r="G937" s="11"/>
      <c r="H937" s="11"/>
      <c r="L937" s="11"/>
    </row>
    <row r="938" ht="15.75" customHeight="1">
      <c r="E938" s="11"/>
      <c r="G938" s="11"/>
      <c r="H938" s="11"/>
      <c r="L938" s="11"/>
    </row>
    <row r="939" ht="15.75" customHeight="1">
      <c r="E939" s="11"/>
      <c r="G939" s="11"/>
      <c r="H939" s="11"/>
      <c r="L939" s="11"/>
    </row>
    <row r="940" ht="15.75" customHeight="1">
      <c r="E940" s="11"/>
      <c r="G940" s="11"/>
      <c r="H940" s="11"/>
      <c r="L940" s="11"/>
    </row>
    <row r="941" ht="15.75" customHeight="1">
      <c r="E941" s="11"/>
      <c r="G941" s="11"/>
      <c r="H941" s="11"/>
      <c r="L941" s="11"/>
    </row>
    <row r="942" ht="15.75" customHeight="1">
      <c r="E942" s="11"/>
      <c r="G942" s="11"/>
      <c r="H942" s="11"/>
      <c r="L942" s="11"/>
    </row>
    <row r="943" ht="15.75" customHeight="1">
      <c r="E943" s="11"/>
      <c r="G943" s="11"/>
      <c r="H943" s="11"/>
      <c r="L943" s="11"/>
    </row>
    <row r="944" ht="15.75" customHeight="1">
      <c r="E944" s="11"/>
      <c r="G944" s="11"/>
      <c r="H944" s="11"/>
      <c r="L944" s="11"/>
    </row>
    <row r="945" ht="15.75" customHeight="1">
      <c r="E945" s="11"/>
      <c r="G945" s="11"/>
      <c r="H945" s="11"/>
      <c r="L945" s="11"/>
    </row>
    <row r="946" ht="15.75" customHeight="1">
      <c r="E946" s="11"/>
      <c r="G946" s="11"/>
      <c r="H946" s="11"/>
      <c r="L946" s="11"/>
    </row>
    <row r="947" ht="15.75" customHeight="1">
      <c r="E947" s="11"/>
      <c r="G947" s="11"/>
      <c r="H947" s="11"/>
      <c r="L947" s="11"/>
    </row>
    <row r="948" ht="15.75" customHeight="1">
      <c r="E948" s="11"/>
      <c r="G948" s="11"/>
      <c r="H948" s="11"/>
      <c r="L948" s="11"/>
    </row>
    <row r="949" ht="15.75" customHeight="1">
      <c r="E949" s="11"/>
      <c r="G949" s="11"/>
      <c r="H949" s="11"/>
      <c r="L949" s="11"/>
    </row>
    <row r="950" ht="15.75" customHeight="1">
      <c r="E950" s="11"/>
      <c r="G950" s="11"/>
      <c r="H950" s="11"/>
      <c r="L950" s="11"/>
    </row>
    <row r="951" ht="15.75" customHeight="1">
      <c r="E951" s="11"/>
      <c r="G951" s="11"/>
      <c r="H951" s="11"/>
      <c r="L951" s="11"/>
    </row>
    <row r="952" ht="15.75" customHeight="1">
      <c r="E952" s="11"/>
      <c r="G952" s="11"/>
      <c r="H952" s="11"/>
      <c r="L952" s="11"/>
    </row>
    <row r="953" ht="15.75" customHeight="1">
      <c r="E953" s="11"/>
      <c r="G953" s="11"/>
      <c r="H953" s="11"/>
      <c r="L953" s="11"/>
    </row>
    <row r="954" ht="15.75" customHeight="1">
      <c r="E954" s="11"/>
      <c r="G954" s="11"/>
      <c r="H954" s="11"/>
      <c r="L954" s="11"/>
    </row>
    <row r="955" ht="15.75" customHeight="1">
      <c r="E955" s="11"/>
      <c r="G955" s="11"/>
      <c r="H955" s="11"/>
      <c r="L955" s="11"/>
    </row>
    <row r="956" ht="15.75" customHeight="1">
      <c r="E956" s="11"/>
      <c r="G956" s="11"/>
      <c r="H956" s="11"/>
      <c r="L956" s="11"/>
    </row>
    <row r="957" ht="15.75" customHeight="1">
      <c r="E957" s="11"/>
      <c r="G957" s="11"/>
      <c r="H957" s="11"/>
      <c r="L957" s="11"/>
    </row>
    <row r="958" ht="15.75" customHeight="1">
      <c r="E958" s="11"/>
      <c r="G958" s="11"/>
      <c r="H958" s="11"/>
      <c r="L958" s="11"/>
    </row>
    <row r="959" ht="15.75" customHeight="1">
      <c r="E959" s="11"/>
      <c r="G959" s="11"/>
      <c r="H959" s="11"/>
      <c r="L959" s="11"/>
    </row>
    <row r="960" ht="15.75" customHeight="1">
      <c r="E960" s="11"/>
      <c r="G960" s="11"/>
      <c r="H960" s="11"/>
      <c r="L960" s="11"/>
    </row>
    <row r="961" ht="15.75" customHeight="1">
      <c r="E961" s="11"/>
      <c r="G961" s="11"/>
      <c r="H961" s="11"/>
      <c r="L961" s="11"/>
    </row>
    <row r="962" ht="15.75" customHeight="1">
      <c r="E962" s="11"/>
      <c r="G962" s="11"/>
      <c r="H962" s="11"/>
      <c r="L962" s="11"/>
    </row>
    <row r="963" ht="15.75" customHeight="1">
      <c r="E963" s="11"/>
      <c r="G963" s="11"/>
      <c r="H963" s="11"/>
      <c r="L963" s="11"/>
    </row>
    <row r="964" ht="15.75" customHeight="1">
      <c r="E964" s="11"/>
      <c r="G964" s="11"/>
      <c r="H964" s="11"/>
      <c r="L964" s="11"/>
    </row>
    <row r="965" ht="15.75" customHeight="1">
      <c r="E965" s="11"/>
      <c r="G965" s="11"/>
      <c r="H965" s="11"/>
      <c r="L965" s="11"/>
    </row>
    <row r="966" ht="15.75" customHeight="1">
      <c r="E966" s="11"/>
      <c r="G966" s="11"/>
      <c r="H966" s="11"/>
      <c r="L966" s="11"/>
    </row>
    <row r="967" ht="15.75" customHeight="1">
      <c r="E967" s="11"/>
      <c r="G967" s="11"/>
      <c r="H967" s="11"/>
      <c r="L967" s="11"/>
    </row>
    <row r="968" ht="15.75" customHeight="1">
      <c r="E968" s="11"/>
      <c r="G968" s="11"/>
      <c r="H968" s="11"/>
      <c r="L968" s="11"/>
    </row>
    <row r="969" ht="15.75" customHeight="1">
      <c r="E969" s="11"/>
      <c r="G969" s="11"/>
      <c r="H969" s="11"/>
      <c r="L969" s="11"/>
    </row>
    <row r="970" ht="15.75" customHeight="1">
      <c r="E970" s="11"/>
      <c r="G970" s="11"/>
      <c r="H970" s="11"/>
      <c r="L970" s="11"/>
    </row>
    <row r="971" ht="15.75" customHeight="1">
      <c r="E971" s="11"/>
      <c r="G971" s="11"/>
      <c r="H971" s="11"/>
      <c r="L971" s="11"/>
    </row>
    <row r="972" ht="15.75" customHeight="1">
      <c r="E972" s="11"/>
      <c r="G972" s="11"/>
      <c r="H972" s="11"/>
      <c r="L972" s="11"/>
    </row>
    <row r="973" ht="15.75" customHeight="1">
      <c r="E973" s="11"/>
      <c r="G973" s="11"/>
      <c r="H973" s="11"/>
      <c r="L973" s="11"/>
    </row>
    <row r="974" ht="15.75" customHeight="1">
      <c r="E974" s="11"/>
      <c r="G974" s="11"/>
      <c r="H974" s="11"/>
      <c r="L974" s="11"/>
    </row>
    <row r="975" ht="15.75" customHeight="1">
      <c r="E975" s="11"/>
      <c r="G975" s="11"/>
      <c r="H975" s="11"/>
      <c r="L975" s="11"/>
    </row>
    <row r="976" ht="15.75" customHeight="1">
      <c r="E976" s="11"/>
      <c r="G976" s="11"/>
      <c r="H976" s="11"/>
      <c r="L976" s="11"/>
    </row>
    <row r="977" ht="15.75" customHeight="1">
      <c r="E977" s="11"/>
      <c r="G977" s="11"/>
      <c r="H977" s="11"/>
      <c r="L977" s="11"/>
    </row>
    <row r="978" ht="15.75" customHeight="1">
      <c r="E978" s="11"/>
      <c r="G978" s="11"/>
      <c r="H978" s="11"/>
      <c r="L978" s="11"/>
    </row>
    <row r="979" ht="15.75" customHeight="1">
      <c r="E979" s="11"/>
      <c r="G979" s="11"/>
      <c r="H979" s="11"/>
      <c r="L979" s="11"/>
    </row>
    <row r="980" ht="15.75" customHeight="1">
      <c r="E980" s="11"/>
      <c r="G980" s="11"/>
      <c r="H980" s="11"/>
      <c r="L980" s="11"/>
    </row>
    <row r="981" ht="15.75" customHeight="1">
      <c r="E981" s="11"/>
      <c r="G981" s="11"/>
      <c r="H981" s="11"/>
      <c r="L981" s="11"/>
    </row>
    <row r="982" ht="15.75" customHeight="1">
      <c r="E982" s="11"/>
      <c r="G982" s="11"/>
      <c r="H982" s="11"/>
      <c r="L982" s="11"/>
    </row>
    <row r="983" ht="15.75" customHeight="1">
      <c r="E983" s="11"/>
      <c r="G983" s="11"/>
      <c r="H983" s="11"/>
      <c r="L983" s="11"/>
    </row>
    <row r="984" ht="15.75" customHeight="1">
      <c r="E984" s="11"/>
      <c r="G984" s="11"/>
      <c r="H984" s="11"/>
      <c r="L984" s="11"/>
    </row>
    <row r="985" ht="15.75" customHeight="1">
      <c r="E985" s="11"/>
      <c r="G985" s="11"/>
      <c r="H985" s="11"/>
      <c r="L985" s="11"/>
    </row>
    <row r="986" ht="15.75" customHeight="1">
      <c r="E986" s="11"/>
      <c r="G986" s="11"/>
      <c r="H986" s="11"/>
      <c r="L986" s="11"/>
    </row>
    <row r="987" ht="15.75" customHeight="1">
      <c r="E987" s="11"/>
      <c r="G987" s="11"/>
      <c r="H987" s="11"/>
      <c r="L987" s="11"/>
    </row>
    <row r="988" ht="15.75" customHeight="1">
      <c r="E988" s="11"/>
      <c r="G988" s="11"/>
      <c r="H988" s="11"/>
      <c r="L988" s="11"/>
    </row>
    <row r="989" ht="15.75" customHeight="1">
      <c r="E989" s="11"/>
      <c r="G989" s="11"/>
      <c r="H989" s="11"/>
      <c r="L989" s="11"/>
    </row>
    <row r="990" ht="15.75" customHeight="1">
      <c r="E990" s="11"/>
      <c r="G990" s="11"/>
      <c r="H990" s="11"/>
      <c r="L990" s="11"/>
    </row>
    <row r="991" ht="15.75" customHeight="1">
      <c r="E991" s="11"/>
      <c r="G991" s="11"/>
      <c r="H991" s="11"/>
      <c r="L991" s="11"/>
    </row>
    <row r="992" ht="15.75" customHeight="1">
      <c r="E992" s="11"/>
      <c r="G992" s="11"/>
      <c r="H992" s="11"/>
      <c r="L992" s="11"/>
    </row>
    <row r="993" ht="15.75" customHeight="1">
      <c r="E993" s="11"/>
      <c r="G993" s="11"/>
      <c r="H993" s="11"/>
      <c r="L993" s="11"/>
    </row>
    <row r="994" ht="15.75" customHeight="1">
      <c r="E994" s="11"/>
      <c r="G994" s="11"/>
      <c r="H994" s="11"/>
      <c r="L994" s="11"/>
    </row>
    <row r="995" ht="15.75" customHeight="1">
      <c r="E995" s="11"/>
      <c r="G995" s="11"/>
      <c r="H995" s="11"/>
      <c r="L995" s="11"/>
    </row>
    <row r="996" ht="15.75" customHeight="1">
      <c r="E996" s="11"/>
      <c r="G996" s="11"/>
      <c r="H996" s="11"/>
      <c r="L996" s="11"/>
    </row>
    <row r="997" ht="15.75" customHeight="1">
      <c r="E997" s="11"/>
      <c r="G997" s="11"/>
      <c r="H997" s="11"/>
      <c r="L997" s="11"/>
    </row>
    <row r="998" ht="15.75" customHeight="1">
      <c r="E998" s="11"/>
      <c r="G998" s="11"/>
      <c r="H998" s="11"/>
      <c r="L998" s="11"/>
    </row>
    <row r="999" ht="15.75" customHeight="1">
      <c r="E999" s="11"/>
      <c r="G999" s="11"/>
      <c r="H999" s="11"/>
      <c r="L999" s="11"/>
    </row>
    <row r="1000" ht="15.75" customHeight="1">
      <c r="E1000" s="11"/>
      <c r="G1000" s="11"/>
      <c r="H1000" s="11"/>
      <c r="L1000" s="11"/>
    </row>
    <row r="1001" ht="15.75" customHeight="1">
      <c r="E1001" s="11"/>
      <c r="G1001" s="11"/>
      <c r="H1001" s="11"/>
      <c r="L1001" s="11"/>
    </row>
    <row r="1002" ht="15.75" customHeight="1">
      <c r="E1002" s="11"/>
      <c r="G1002" s="11"/>
      <c r="H1002" s="11"/>
      <c r="L1002" s="11"/>
    </row>
    <row r="1003" ht="15.75" customHeight="1">
      <c r="E1003" s="11"/>
      <c r="G1003" s="11"/>
      <c r="H1003" s="11"/>
      <c r="L1003" s="11"/>
    </row>
    <row r="1004" ht="15.75" customHeight="1">
      <c r="E1004" s="11"/>
      <c r="G1004" s="11"/>
      <c r="H1004" s="11"/>
      <c r="L1004" s="11"/>
    </row>
    <row r="1005" ht="15.75" customHeight="1">
      <c r="E1005" s="11"/>
      <c r="G1005" s="11"/>
      <c r="H1005" s="11"/>
      <c r="L1005" s="11"/>
    </row>
    <row r="1006" ht="15.75" customHeight="1">
      <c r="E1006" s="11"/>
      <c r="G1006" s="11"/>
      <c r="H1006" s="11"/>
      <c r="L1006" s="11"/>
    </row>
    <row r="1007" ht="15.75" customHeight="1">
      <c r="E1007" s="11"/>
      <c r="G1007" s="11"/>
      <c r="H1007" s="11"/>
      <c r="L1007" s="11"/>
    </row>
    <row r="1008" ht="15.75" customHeight="1">
      <c r="E1008" s="11"/>
      <c r="G1008" s="11"/>
      <c r="H1008" s="11"/>
      <c r="L1008" s="11"/>
    </row>
    <row r="1009" ht="15.75" customHeight="1">
      <c r="E1009" s="11"/>
      <c r="G1009" s="11"/>
      <c r="H1009" s="11"/>
      <c r="L1009" s="11"/>
    </row>
    <row r="1010" ht="15.75" customHeight="1">
      <c r="E1010" s="11"/>
      <c r="G1010" s="11"/>
      <c r="H1010" s="11"/>
      <c r="L1010" s="11"/>
    </row>
    <row r="1011" ht="15.75" customHeight="1">
      <c r="E1011" s="11"/>
      <c r="G1011" s="11"/>
      <c r="H1011" s="11"/>
      <c r="L1011" s="11"/>
    </row>
    <row r="1012" ht="15.75" customHeight="1">
      <c r="E1012" s="11"/>
      <c r="G1012" s="11"/>
      <c r="H1012" s="11"/>
      <c r="L1012" s="11"/>
    </row>
    <row r="1013" ht="15.75" customHeight="1">
      <c r="E1013" s="11"/>
      <c r="G1013" s="11"/>
      <c r="H1013" s="11"/>
      <c r="L1013" s="11"/>
    </row>
    <row r="1014" ht="15.75" customHeight="1">
      <c r="E1014" s="11"/>
      <c r="G1014" s="11"/>
      <c r="H1014" s="11"/>
      <c r="L1014" s="11"/>
    </row>
    <row r="1015" ht="15.75" customHeight="1">
      <c r="E1015" s="11"/>
      <c r="G1015" s="11"/>
      <c r="H1015" s="11"/>
      <c r="L1015" s="11"/>
    </row>
    <row r="1016" ht="15.75" customHeight="1">
      <c r="E1016" s="11"/>
      <c r="G1016" s="11"/>
      <c r="H1016" s="11"/>
      <c r="L1016" s="11"/>
    </row>
    <row r="1017" ht="15.75" customHeight="1">
      <c r="E1017" s="11"/>
      <c r="G1017" s="11"/>
      <c r="H1017" s="11"/>
      <c r="L1017" s="11"/>
    </row>
    <row r="1018" ht="15.75" customHeight="1">
      <c r="E1018" s="11"/>
      <c r="G1018" s="11"/>
      <c r="H1018" s="11"/>
      <c r="L1018" s="11"/>
    </row>
    <row r="1019" ht="15.75" customHeight="1">
      <c r="E1019" s="11"/>
      <c r="G1019" s="11"/>
      <c r="H1019" s="11"/>
      <c r="L1019" s="11"/>
    </row>
  </sheetData>
  <conditionalFormatting sqref="L2:L1019">
    <cfRule type="expression" dxfId="4" priority="1">
      <formula>L2="confirmada"</formula>
    </cfRule>
  </conditionalFormatting>
  <conditionalFormatting sqref="L2:L1019">
    <cfRule type="expression" dxfId="5" priority="2">
      <formula>L2="pendiente"</formula>
    </cfRule>
  </conditionalFormatting>
  <conditionalFormatting sqref="L2:L1019">
    <cfRule type="expression" dxfId="6" priority="3">
      <formula>L2="cancelada"</formula>
    </cfRule>
  </conditionalFormatting>
  <dataValidations>
    <dataValidation type="list" allowBlank="1" sqref="E201:E1019">
      <formula1>"web,telegram,whatsapp,otro"</formula1>
    </dataValidation>
    <dataValidation type="list" allowBlank="1" sqref="E2:E200">
      <formula1>"web"</formula1>
    </dataValidation>
    <dataValidation type="list" allowBlank="1" sqref="G2:G1019">
      <formula1>"agendar_cancha,consultar_disponibilidad,cancelar_reserva,preguntas_frecuentes,saludo,despedida"</formula1>
    </dataValidation>
    <dataValidation type="list" allowBlank="1" sqref="L2:L1019">
      <formula1>"confirmada,cancelada"</formula1>
    </dataValidation>
    <dataValidation type="list" allowBlank="1" sqref="H2:H1019">
      <formula1>"futbol_5,futbol_8"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22.0"/>
    <col customWidth="1" min="3" max="3" width="16.0"/>
    <col customWidth="1" min="4" max="4" width="18.0"/>
    <col customWidth="1" min="5" max="6" width="14.0"/>
    <col customWidth="1" min="7" max="7" width="10.0"/>
    <col customWidth="1" min="8" max="8" width="42.0"/>
    <col customWidth="1" min="9" max="26" width="8.63"/>
  </cols>
  <sheetData>
    <row r="1" ht="30.0" customHeight="1">
      <c r="A1" s="1" t="s">
        <v>7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14</v>
      </c>
    </row>
    <row r="2">
      <c r="A2" s="2" t="s">
        <v>22</v>
      </c>
      <c r="B2" s="2" t="s">
        <v>135</v>
      </c>
      <c r="C2" s="2">
        <v>10.0</v>
      </c>
      <c r="D2" s="2">
        <v>90000.0</v>
      </c>
      <c r="E2" s="2" t="s">
        <v>136</v>
      </c>
      <c r="F2" s="2" t="s">
        <v>137</v>
      </c>
      <c r="G2" s="2" t="s">
        <v>138</v>
      </c>
      <c r="H2" s="2" t="s">
        <v>139</v>
      </c>
    </row>
    <row r="3">
      <c r="A3" s="2" t="s">
        <v>32</v>
      </c>
      <c r="B3" s="2" t="s">
        <v>140</v>
      </c>
      <c r="C3" s="2">
        <v>16.0</v>
      </c>
      <c r="D3" s="2">
        <v>140000.0</v>
      </c>
      <c r="E3" s="2" t="s">
        <v>136</v>
      </c>
      <c r="F3" s="2" t="s">
        <v>137</v>
      </c>
      <c r="G3" s="2" t="s">
        <v>138</v>
      </c>
      <c r="H3" s="2" t="s">
        <v>141</v>
      </c>
    </row>
    <row r="4">
      <c r="A4" s="12"/>
      <c r="B4" s="12"/>
      <c r="C4" s="12"/>
      <c r="D4" s="12"/>
      <c r="E4" s="12"/>
      <c r="F4" s="12"/>
      <c r="G4" s="12"/>
      <c r="H4" s="12"/>
    </row>
    <row r="5">
      <c r="A5" s="12"/>
      <c r="B5" s="12"/>
      <c r="C5" s="12"/>
      <c r="D5" s="12"/>
      <c r="E5" s="12"/>
      <c r="F5" s="12"/>
      <c r="G5" s="12"/>
      <c r="H5" s="12"/>
    </row>
    <row r="6">
      <c r="A6" s="12"/>
      <c r="B6" s="12"/>
      <c r="C6" s="12"/>
      <c r="D6" s="12"/>
      <c r="E6" s="12"/>
      <c r="F6" s="12"/>
      <c r="G6" s="12"/>
      <c r="H6" s="12"/>
    </row>
    <row r="7">
      <c r="A7" s="12"/>
      <c r="B7" s="12"/>
      <c r="C7" s="12"/>
      <c r="D7" s="12"/>
      <c r="E7" s="12"/>
      <c r="F7" s="12"/>
      <c r="G7" s="12"/>
      <c r="H7" s="12"/>
    </row>
    <row r="8">
      <c r="A8" s="12"/>
      <c r="B8" s="12"/>
      <c r="C8" s="12"/>
      <c r="D8" s="12"/>
      <c r="E8" s="12"/>
      <c r="F8" s="12"/>
      <c r="G8" s="12"/>
      <c r="H8" s="12"/>
    </row>
    <row r="9">
      <c r="A9" s="12"/>
      <c r="B9" s="12"/>
      <c r="C9" s="12"/>
      <c r="D9" s="12"/>
      <c r="E9" s="12"/>
      <c r="F9" s="12"/>
      <c r="G9" s="12"/>
      <c r="H9" s="12"/>
    </row>
    <row r="10">
      <c r="A10" s="12"/>
      <c r="B10" s="12"/>
      <c r="C10" s="12"/>
      <c r="D10" s="12"/>
      <c r="E10" s="12"/>
      <c r="F10" s="12"/>
      <c r="G10" s="12"/>
      <c r="H10" s="12"/>
    </row>
    <row r="11">
      <c r="A11" s="12"/>
      <c r="B11" s="12"/>
      <c r="C11" s="12"/>
      <c r="D11" s="12"/>
      <c r="E11" s="12"/>
      <c r="F11" s="12"/>
      <c r="G11" s="12"/>
      <c r="H11" s="12"/>
    </row>
    <row r="12">
      <c r="A12" s="12"/>
      <c r="B12" s="12"/>
      <c r="C12" s="12"/>
      <c r="D12" s="12"/>
      <c r="E12" s="12"/>
      <c r="F12" s="12"/>
      <c r="G12" s="12"/>
      <c r="H12" s="12"/>
    </row>
    <row r="13">
      <c r="A13" s="12"/>
      <c r="B13" s="12"/>
      <c r="C13" s="12"/>
      <c r="D13" s="12"/>
      <c r="E13" s="12"/>
      <c r="F13" s="12"/>
      <c r="G13" s="12"/>
      <c r="H13" s="12"/>
    </row>
    <row r="14">
      <c r="A14" s="12"/>
      <c r="B14" s="12"/>
      <c r="C14" s="12"/>
      <c r="D14" s="12"/>
      <c r="E14" s="12"/>
      <c r="F14" s="12"/>
      <c r="G14" s="12"/>
      <c r="H14" s="12"/>
    </row>
    <row r="15">
      <c r="A15" s="12"/>
      <c r="B15" s="12"/>
      <c r="C15" s="12"/>
      <c r="D15" s="12"/>
      <c r="E15" s="12"/>
      <c r="F15" s="12"/>
      <c r="G15" s="12"/>
      <c r="H15" s="12"/>
    </row>
    <row r="16">
      <c r="A16" s="12"/>
      <c r="B16" s="12"/>
      <c r="C16" s="12"/>
      <c r="D16" s="12"/>
      <c r="E16" s="12"/>
      <c r="F16" s="12"/>
      <c r="G16" s="12"/>
      <c r="H16" s="12"/>
    </row>
    <row r="17">
      <c r="A17" s="12"/>
      <c r="B17" s="12"/>
      <c r="C17" s="12"/>
      <c r="D17" s="12"/>
      <c r="E17" s="12"/>
      <c r="F17" s="12"/>
      <c r="G17" s="12"/>
      <c r="H17" s="12"/>
    </row>
    <row r="18">
      <c r="A18" s="12"/>
      <c r="B18" s="12"/>
      <c r="C18" s="12"/>
      <c r="D18" s="12"/>
      <c r="E18" s="12"/>
      <c r="F18" s="12"/>
      <c r="G18" s="12"/>
      <c r="H18" s="12"/>
    </row>
    <row r="19">
      <c r="A19" s="12"/>
      <c r="B19" s="12"/>
      <c r="C19" s="12"/>
      <c r="D19" s="12"/>
      <c r="E19" s="12"/>
      <c r="F19" s="12"/>
      <c r="G19" s="12"/>
      <c r="H19" s="12"/>
    </row>
    <row r="20">
      <c r="A20" s="12"/>
      <c r="B20" s="12"/>
      <c r="C20" s="12"/>
      <c r="D20" s="12"/>
      <c r="E20" s="12"/>
      <c r="F20" s="12"/>
      <c r="G20" s="12"/>
      <c r="H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32.0"/>
    <col customWidth="1" min="3" max="3" width="60.0"/>
    <col customWidth="1" min="4" max="26" width="8.63"/>
  </cols>
  <sheetData>
    <row r="1" ht="30.0" customHeight="1">
      <c r="A1" s="1" t="s">
        <v>142</v>
      </c>
      <c r="B1" s="1" t="s">
        <v>143</v>
      </c>
      <c r="C1" s="1" t="s">
        <v>144</v>
      </c>
    </row>
    <row r="2">
      <c r="A2" s="2" t="s">
        <v>145</v>
      </c>
      <c r="B2" s="2" t="s">
        <v>146</v>
      </c>
      <c r="C2" s="2" t="s">
        <v>147</v>
      </c>
    </row>
    <row r="3">
      <c r="A3" s="2" t="s">
        <v>148</v>
      </c>
      <c r="B3" s="2" t="s">
        <v>149</v>
      </c>
      <c r="C3" s="2" t="s">
        <v>150</v>
      </c>
    </row>
    <row r="4">
      <c r="A4" s="2" t="s">
        <v>151</v>
      </c>
      <c r="B4" s="2" t="s">
        <v>152</v>
      </c>
      <c r="C4" s="2" t="s">
        <v>153</v>
      </c>
    </row>
    <row r="5">
      <c r="A5" s="2" t="s">
        <v>154</v>
      </c>
      <c r="B5" s="2" t="s">
        <v>155</v>
      </c>
      <c r="C5" s="2" t="s">
        <v>156</v>
      </c>
    </row>
    <row r="6">
      <c r="A6" s="2" t="s">
        <v>157</v>
      </c>
      <c r="B6" s="2" t="s">
        <v>158</v>
      </c>
      <c r="C6" s="2" t="s">
        <v>159</v>
      </c>
    </row>
    <row r="7">
      <c r="A7" s="12"/>
      <c r="B7" s="12"/>
      <c r="C7" s="12"/>
    </row>
    <row r="8">
      <c r="A8" s="12"/>
      <c r="B8" s="12"/>
      <c r="C8" s="12"/>
    </row>
    <row r="9">
      <c r="A9" s="12"/>
      <c r="B9" s="12"/>
      <c r="C9" s="12"/>
    </row>
    <row r="10">
      <c r="A10" s="12"/>
      <c r="B10" s="12"/>
      <c r="C10" s="12"/>
    </row>
    <row r="11">
      <c r="A11" s="12"/>
      <c r="B11" s="12"/>
      <c r="C11" s="12"/>
    </row>
    <row r="12">
      <c r="A12" s="12"/>
      <c r="B12" s="12"/>
      <c r="C12" s="12"/>
    </row>
    <row r="13">
      <c r="A13" s="12"/>
      <c r="B13" s="12"/>
      <c r="C13" s="12"/>
    </row>
    <row r="14">
      <c r="A14" s="12"/>
      <c r="B14" s="12"/>
      <c r="C14" s="12"/>
    </row>
    <row r="15">
      <c r="A15" s="12"/>
      <c r="B15" s="12"/>
      <c r="C15" s="12"/>
    </row>
    <row r="16">
      <c r="A16" s="12"/>
      <c r="B16" s="12"/>
      <c r="C16" s="12"/>
    </row>
    <row r="17">
      <c r="A17" s="12"/>
      <c r="B17" s="12"/>
      <c r="C17" s="12"/>
    </row>
    <row r="18">
      <c r="A18" s="12"/>
      <c r="B18" s="12"/>
      <c r="C18" s="12"/>
    </row>
    <row r="19">
      <c r="A19" s="12"/>
      <c r="B19" s="12"/>
      <c r="C19" s="12"/>
    </row>
    <row r="20">
      <c r="A20" s="12"/>
      <c r="B20" s="12"/>
      <c r="C20" s="12"/>
    </row>
    <row r="21" ht="15.75" customHeight="1">
      <c r="A21" s="12"/>
      <c r="B21" s="12"/>
      <c r="C21" s="12"/>
    </row>
    <row r="22" ht="15.75" customHeight="1">
      <c r="A22" s="12"/>
      <c r="B22" s="12"/>
      <c r="C22" s="12"/>
    </row>
    <row r="23" ht="15.75" customHeight="1">
      <c r="A23" s="12"/>
      <c r="B23" s="12"/>
      <c r="C23" s="12"/>
    </row>
    <row r="24" ht="15.75" customHeight="1">
      <c r="A24" s="12"/>
      <c r="B24" s="12"/>
      <c r="C24" s="12"/>
    </row>
    <row r="25" ht="15.75" customHeight="1">
      <c r="A25" s="12"/>
      <c r="B25" s="12"/>
      <c r="C25" s="12"/>
    </row>
    <row r="26" ht="15.75" customHeight="1">
      <c r="A26" s="12"/>
      <c r="B26" s="12"/>
      <c r="C26" s="12"/>
    </row>
    <row r="27" ht="15.75" customHeight="1">
      <c r="A27" s="12"/>
      <c r="B27" s="12"/>
      <c r="C27" s="12"/>
    </row>
    <row r="28" ht="15.75" customHeight="1">
      <c r="A28" s="12"/>
      <c r="B28" s="12"/>
      <c r="C28" s="12"/>
    </row>
    <row r="29" ht="15.75" customHeight="1">
      <c r="A29" s="12"/>
      <c r="B29" s="12"/>
      <c r="C29" s="12"/>
    </row>
    <row r="30" ht="15.75" customHeight="1">
      <c r="A30" s="12"/>
      <c r="B30" s="12"/>
      <c r="C30" s="12"/>
    </row>
    <row r="31" ht="15.75" customHeight="1">
      <c r="A31" s="12"/>
      <c r="B31" s="12"/>
      <c r="C31" s="12"/>
    </row>
    <row r="32" ht="15.75" customHeight="1">
      <c r="A32" s="12"/>
      <c r="B32" s="12"/>
      <c r="C32" s="12"/>
    </row>
    <row r="33" ht="15.75" customHeight="1">
      <c r="A33" s="12"/>
      <c r="B33" s="12"/>
      <c r="C33" s="12"/>
    </row>
    <row r="34" ht="15.75" customHeight="1">
      <c r="A34" s="12"/>
      <c r="B34" s="12"/>
      <c r="C34" s="12"/>
    </row>
    <row r="35" ht="15.75" customHeight="1">
      <c r="A35" s="12"/>
      <c r="B35" s="12"/>
      <c r="C35" s="12"/>
    </row>
    <row r="36" ht="15.75" customHeight="1">
      <c r="A36" s="12"/>
      <c r="B36" s="12"/>
      <c r="C36" s="12"/>
    </row>
    <row r="37" ht="15.75" customHeight="1">
      <c r="A37" s="12"/>
      <c r="B37" s="12"/>
      <c r="C37" s="12"/>
    </row>
    <row r="38" ht="15.75" customHeight="1">
      <c r="A38" s="12"/>
      <c r="B38" s="12"/>
      <c r="C38" s="12"/>
    </row>
    <row r="39" ht="15.75" customHeight="1">
      <c r="A39" s="12"/>
      <c r="B39" s="12"/>
      <c r="C39" s="12"/>
    </row>
    <row r="40" ht="15.75" customHeight="1">
      <c r="A40" s="12"/>
      <c r="B40" s="12"/>
      <c r="C40" s="12"/>
    </row>
    <row r="41" ht="15.75" customHeight="1">
      <c r="A41" s="12"/>
      <c r="B41" s="12"/>
      <c r="C41" s="12"/>
    </row>
    <row r="42" ht="15.75" customHeight="1">
      <c r="A42" s="12"/>
      <c r="B42" s="12"/>
      <c r="C42" s="12"/>
    </row>
    <row r="43" ht="15.75" customHeight="1">
      <c r="A43" s="12"/>
      <c r="B43" s="12"/>
      <c r="C43" s="12"/>
    </row>
    <row r="44" ht="15.75" customHeight="1">
      <c r="A44" s="12"/>
      <c r="B44" s="12"/>
      <c r="C44" s="12"/>
    </row>
    <row r="45" ht="15.75" customHeight="1">
      <c r="A45" s="12"/>
      <c r="B45" s="12"/>
      <c r="C45" s="12"/>
    </row>
    <row r="46" ht="15.75" customHeight="1">
      <c r="A46" s="12"/>
      <c r="B46" s="12"/>
      <c r="C46" s="12"/>
    </row>
    <row r="47" ht="15.75" customHeight="1">
      <c r="A47" s="12"/>
      <c r="B47" s="12"/>
      <c r="C47" s="12"/>
    </row>
    <row r="48" ht="15.75" customHeight="1">
      <c r="A48" s="12"/>
      <c r="B48" s="12"/>
      <c r="C48" s="12"/>
    </row>
    <row r="49" ht="15.75" customHeight="1">
      <c r="A49" s="12"/>
      <c r="B49" s="12"/>
      <c r="C49" s="12"/>
    </row>
    <row r="50" ht="15.75" customHeight="1">
      <c r="A50" s="12"/>
      <c r="B50" s="12"/>
      <c r="C50" s="12"/>
    </row>
    <row r="51" ht="15.75" customHeight="1">
      <c r="A51" s="12"/>
      <c r="B51" s="12"/>
      <c r="C51" s="12"/>
    </row>
    <row r="52" ht="15.75" customHeight="1">
      <c r="A52" s="12"/>
      <c r="B52" s="12"/>
      <c r="C52" s="12"/>
    </row>
    <row r="53" ht="15.75" customHeight="1">
      <c r="A53" s="12"/>
      <c r="B53" s="12"/>
      <c r="C53" s="12"/>
    </row>
    <row r="54" ht="15.75" customHeight="1">
      <c r="A54" s="12"/>
      <c r="B54" s="12"/>
      <c r="C54" s="12"/>
    </row>
    <row r="55" ht="15.75" customHeight="1">
      <c r="A55" s="12"/>
      <c r="B55" s="12"/>
      <c r="C55" s="12"/>
    </row>
    <row r="56" ht="15.75" customHeight="1">
      <c r="A56" s="12"/>
      <c r="B56" s="12"/>
      <c r="C56" s="12"/>
    </row>
    <row r="57" ht="15.75" customHeight="1">
      <c r="A57" s="12"/>
      <c r="B57" s="12"/>
      <c r="C57" s="12"/>
    </row>
    <row r="58" ht="15.75" customHeight="1">
      <c r="A58" s="12"/>
      <c r="B58" s="12"/>
      <c r="C58" s="12"/>
    </row>
    <row r="59" ht="15.75" customHeight="1">
      <c r="A59" s="12"/>
      <c r="B59" s="12"/>
      <c r="C59" s="12"/>
    </row>
    <row r="60" ht="15.75" customHeight="1">
      <c r="A60" s="12"/>
      <c r="B60" s="12"/>
      <c r="C60" s="12"/>
    </row>
    <row r="61" ht="15.75" customHeight="1">
      <c r="A61" s="12"/>
      <c r="B61" s="12"/>
      <c r="C61" s="12"/>
    </row>
    <row r="62" ht="15.75" customHeight="1">
      <c r="A62" s="12"/>
      <c r="B62" s="12"/>
      <c r="C62" s="12"/>
    </row>
    <row r="63" ht="15.75" customHeight="1">
      <c r="A63" s="12"/>
      <c r="B63" s="12"/>
      <c r="C63" s="12"/>
    </row>
    <row r="64" ht="15.75" customHeight="1">
      <c r="A64" s="12"/>
      <c r="B64" s="12"/>
      <c r="C64" s="12"/>
    </row>
    <row r="65" ht="15.75" customHeight="1">
      <c r="A65" s="12"/>
      <c r="B65" s="12"/>
      <c r="C65" s="12"/>
    </row>
    <row r="66" ht="15.75" customHeight="1">
      <c r="A66" s="12"/>
      <c r="B66" s="12"/>
      <c r="C66" s="12"/>
    </row>
    <row r="67" ht="15.75" customHeight="1">
      <c r="A67" s="12"/>
      <c r="B67" s="12"/>
      <c r="C67" s="12"/>
    </row>
    <row r="68" ht="15.75" customHeight="1">
      <c r="A68" s="12"/>
      <c r="B68" s="12"/>
      <c r="C68" s="12"/>
    </row>
    <row r="69" ht="15.75" customHeight="1">
      <c r="A69" s="12"/>
      <c r="B69" s="12"/>
      <c r="C69" s="12"/>
    </row>
    <row r="70" ht="15.75" customHeight="1">
      <c r="A70" s="12"/>
      <c r="B70" s="12"/>
      <c r="C70" s="12"/>
    </row>
    <row r="71" ht="15.75" customHeight="1">
      <c r="A71" s="12"/>
      <c r="B71" s="12"/>
      <c r="C71" s="12"/>
    </row>
    <row r="72" ht="15.75" customHeight="1">
      <c r="A72" s="12"/>
      <c r="B72" s="12"/>
      <c r="C72" s="12"/>
    </row>
    <row r="73" ht="15.75" customHeight="1">
      <c r="A73" s="12"/>
      <c r="B73" s="12"/>
      <c r="C73" s="12"/>
    </row>
    <row r="74" ht="15.75" customHeight="1">
      <c r="A74" s="12"/>
      <c r="B74" s="12"/>
      <c r="C74" s="12"/>
    </row>
    <row r="75" ht="15.75" customHeight="1">
      <c r="A75" s="12"/>
      <c r="B75" s="12"/>
      <c r="C75" s="12"/>
    </row>
    <row r="76" ht="15.75" customHeight="1">
      <c r="A76" s="12"/>
      <c r="B76" s="12"/>
      <c r="C76" s="12"/>
    </row>
    <row r="77" ht="15.75" customHeight="1">
      <c r="A77" s="12"/>
      <c r="B77" s="12"/>
      <c r="C77" s="12"/>
    </row>
    <row r="78" ht="15.75" customHeight="1">
      <c r="A78" s="12"/>
      <c r="B78" s="12"/>
      <c r="C78" s="12"/>
    </row>
    <row r="79" ht="15.75" customHeight="1">
      <c r="A79" s="12"/>
      <c r="B79" s="12"/>
      <c r="C79" s="12"/>
    </row>
    <row r="80" ht="15.75" customHeight="1">
      <c r="A80" s="12"/>
      <c r="B80" s="12"/>
      <c r="C80" s="12"/>
    </row>
    <row r="81" ht="15.75" customHeight="1">
      <c r="A81" s="12"/>
      <c r="B81" s="12"/>
      <c r="C81" s="12"/>
    </row>
    <row r="82" ht="15.75" customHeight="1">
      <c r="A82" s="12"/>
      <c r="B82" s="12"/>
      <c r="C82" s="12"/>
    </row>
    <row r="83" ht="15.75" customHeight="1">
      <c r="A83" s="12"/>
      <c r="B83" s="12"/>
      <c r="C83" s="12"/>
    </row>
    <row r="84" ht="15.75" customHeight="1">
      <c r="A84" s="12"/>
      <c r="B84" s="12"/>
      <c r="C84" s="12"/>
    </row>
    <row r="85" ht="15.75" customHeight="1">
      <c r="A85" s="12"/>
      <c r="B85" s="12"/>
      <c r="C85" s="12"/>
    </row>
    <row r="86" ht="15.75" customHeight="1">
      <c r="A86" s="12"/>
      <c r="B86" s="12"/>
      <c r="C86" s="12"/>
    </row>
    <row r="87" ht="15.75" customHeight="1">
      <c r="A87" s="12"/>
      <c r="B87" s="12"/>
      <c r="C87" s="12"/>
    </row>
    <row r="88" ht="15.75" customHeight="1">
      <c r="A88" s="12"/>
      <c r="B88" s="12"/>
      <c r="C88" s="12"/>
    </row>
    <row r="89" ht="15.75" customHeight="1">
      <c r="A89" s="12"/>
      <c r="B89" s="12"/>
      <c r="C89" s="12"/>
    </row>
    <row r="90" ht="15.75" customHeight="1">
      <c r="A90" s="12"/>
      <c r="B90" s="12"/>
      <c r="C90" s="12"/>
    </row>
    <row r="91" ht="15.75" customHeight="1">
      <c r="A91" s="12"/>
      <c r="B91" s="12"/>
      <c r="C91" s="12"/>
    </row>
    <row r="92" ht="15.75" customHeight="1">
      <c r="A92" s="12"/>
      <c r="B92" s="12"/>
      <c r="C92" s="12"/>
    </row>
    <row r="93" ht="15.75" customHeight="1">
      <c r="A93" s="12"/>
      <c r="B93" s="12"/>
      <c r="C93" s="12"/>
    </row>
    <row r="94" ht="15.75" customHeight="1">
      <c r="A94" s="12"/>
      <c r="B94" s="12"/>
      <c r="C94" s="12"/>
    </row>
    <row r="95" ht="15.75" customHeight="1">
      <c r="A95" s="12"/>
      <c r="B95" s="12"/>
      <c r="C95" s="12"/>
    </row>
    <row r="96" ht="15.75" customHeight="1">
      <c r="A96" s="12"/>
      <c r="B96" s="12"/>
      <c r="C96" s="12"/>
    </row>
    <row r="97" ht="15.75" customHeight="1">
      <c r="A97" s="12"/>
      <c r="B97" s="12"/>
      <c r="C97" s="12"/>
    </row>
    <row r="98" ht="15.75" customHeight="1">
      <c r="A98" s="12"/>
      <c r="B98" s="12"/>
      <c r="C98" s="12"/>
    </row>
    <row r="99" ht="15.75" customHeight="1">
      <c r="A99" s="12"/>
      <c r="B99" s="12"/>
      <c r="C99" s="12"/>
    </row>
    <row r="100" ht="15.75" customHeight="1">
      <c r="A100" s="12"/>
      <c r="B100" s="12"/>
      <c r="C100" s="12"/>
    </row>
    <row r="101" ht="15.75" customHeight="1">
      <c r="A101" s="12"/>
      <c r="B101" s="12"/>
      <c r="C101" s="12"/>
    </row>
    <row r="102" ht="15.75" customHeight="1">
      <c r="A102" s="12"/>
      <c r="B102" s="12"/>
      <c r="C102" s="12"/>
    </row>
    <row r="103" ht="15.75" customHeight="1">
      <c r="A103" s="12"/>
      <c r="B103" s="12"/>
      <c r="C103" s="12"/>
    </row>
    <row r="104" ht="15.75" customHeight="1">
      <c r="A104" s="12"/>
      <c r="B104" s="12"/>
      <c r="C104" s="12"/>
    </row>
    <row r="105" ht="15.75" customHeight="1">
      <c r="A105" s="12"/>
      <c r="B105" s="12"/>
      <c r="C105" s="12"/>
    </row>
    <row r="106" ht="15.75" customHeight="1">
      <c r="A106" s="12"/>
      <c r="B106" s="12"/>
      <c r="C106" s="12"/>
    </row>
    <row r="107" ht="15.75" customHeight="1">
      <c r="A107" s="12"/>
      <c r="B107" s="12"/>
      <c r="C107" s="12"/>
    </row>
    <row r="108" ht="15.75" customHeight="1">
      <c r="A108" s="12"/>
      <c r="B108" s="12"/>
      <c r="C108" s="12"/>
    </row>
    <row r="109" ht="15.75" customHeight="1">
      <c r="A109" s="12"/>
      <c r="B109" s="12"/>
      <c r="C109" s="12"/>
    </row>
    <row r="110" ht="15.75" customHeight="1">
      <c r="A110" s="12"/>
      <c r="B110" s="12"/>
      <c r="C110" s="12"/>
    </row>
    <row r="111" ht="15.75" customHeight="1">
      <c r="A111" s="12"/>
      <c r="B111" s="12"/>
      <c r="C111" s="12"/>
    </row>
    <row r="112" ht="15.75" customHeight="1">
      <c r="A112" s="12"/>
      <c r="B112" s="12"/>
      <c r="C112" s="12"/>
    </row>
    <row r="113" ht="15.75" customHeight="1">
      <c r="A113" s="12"/>
      <c r="B113" s="12"/>
      <c r="C113" s="12"/>
    </row>
    <row r="114" ht="15.75" customHeight="1">
      <c r="A114" s="12"/>
      <c r="B114" s="12"/>
      <c r="C114" s="12"/>
    </row>
    <row r="115" ht="15.75" customHeight="1">
      <c r="A115" s="12"/>
      <c r="B115" s="12"/>
      <c r="C115" s="12"/>
    </row>
    <row r="116" ht="15.75" customHeight="1">
      <c r="A116" s="12"/>
      <c r="B116" s="12"/>
      <c r="C116" s="12"/>
    </row>
    <row r="117" ht="15.75" customHeight="1">
      <c r="A117" s="12"/>
      <c r="B117" s="12"/>
      <c r="C117" s="12"/>
    </row>
    <row r="118" ht="15.75" customHeight="1">
      <c r="A118" s="12"/>
      <c r="B118" s="12"/>
      <c r="C118" s="12"/>
    </row>
    <row r="119" ht="15.75" customHeight="1">
      <c r="A119" s="12"/>
      <c r="B119" s="12"/>
      <c r="C119" s="12"/>
    </row>
    <row r="120" ht="15.75" customHeight="1">
      <c r="A120" s="12"/>
      <c r="B120" s="12"/>
      <c r="C120" s="12"/>
    </row>
    <row r="121" ht="15.75" customHeight="1">
      <c r="A121" s="12"/>
      <c r="B121" s="12"/>
      <c r="C121" s="12"/>
    </row>
    <row r="122" ht="15.75" customHeight="1">
      <c r="A122" s="12"/>
      <c r="B122" s="12"/>
      <c r="C122" s="12"/>
    </row>
    <row r="123" ht="15.75" customHeight="1">
      <c r="A123" s="12"/>
      <c r="B123" s="12"/>
      <c r="C123" s="12"/>
    </row>
    <row r="124" ht="15.75" customHeight="1">
      <c r="A124" s="12"/>
      <c r="B124" s="12"/>
      <c r="C124" s="12"/>
    </row>
    <row r="125" ht="15.75" customHeight="1">
      <c r="A125" s="12"/>
      <c r="B125" s="12"/>
      <c r="C125" s="12"/>
    </row>
    <row r="126" ht="15.75" customHeight="1">
      <c r="A126" s="12"/>
      <c r="B126" s="12"/>
      <c r="C126" s="12"/>
    </row>
    <row r="127" ht="15.75" customHeight="1">
      <c r="A127" s="12"/>
      <c r="B127" s="12"/>
      <c r="C127" s="12"/>
    </row>
    <row r="128" ht="15.75" customHeight="1">
      <c r="A128" s="12"/>
      <c r="B128" s="12"/>
      <c r="C128" s="12"/>
    </row>
    <row r="129" ht="15.75" customHeight="1">
      <c r="A129" s="12"/>
      <c r="B129" s="12"/>
      <c r="C129" s="12"/>
    </row>
    <row r="130" ht="15.75" customHeight="1">
      <c r="A130" s="12"/>
      <c r="B130" s="12"/>
      <c r="C130" s="12"/>
    </row>
    <row r="131" ht="15.75" customHeight="1">
      <c r="A131" s="12"/>
      <c r="B131" s="12"/>
      <c r="C131" s="12"/>
    </row>
    <row r="132" ht="15.75" customHeight="1">
      <c r="A132" s="12"/>
      <c r="B132" s="12"/>
      <c r="C132" s="12"/>
    </row>
    <row r="133" ht="15.75" customHeight="1">
      <c r="A133" s="12"/>
      <c r="B133" s="12"/>
      <c r="C133" s="12"/>
    </row>
    <row r="134" ht="15.75" customHeight="1">
      <c r="A134" s="12"/>
      <c r="B134" s="12"/>
      <c r="C134" s="12"/>
    </row>
    <row r="135" ht="15.75" customHeight="1">
      <c r="A135" s="12"/>
      <c r="B135" s="12"/>
      <c r="C135" s="12"/>
    </row>
    <row r="136" ht="15.75" customHeight="1">
      <c r="A136" s="12"/>
      <c r="B136" s="12"/>
      <c r="C136" s="12"/>
    </row>
    <row r="137" ht="15.75" customHeight="1">
      <c r="A137" s="12"/>
      <c r="B137" s="12"/>
      <c r="C137" s="12"/>
    </row>
    <row r="138" ht="15.75" customHeight="1">
      <c r="A138" s="12"/>
      <c r="B138" s="12"/>
      <c r="C138" s="12"/>
    </row>
    <row r="139" ht="15.75" customHeight="1">
      <c r="A139" s="12"/>
      <c r="B139" s="12"/>
      <c r="C139" s="12"/>
    </row>
    <row r="140" ht="15.75" customHeight="1">
      <c r="A140" s="12"/>
      <c r="B140" s="12"/>
      <c r="C140" s="12"/>
    </row>
    <row r="141" ht="15.75" customHeight="1">
      <c r="A141" s="12"/>
      <c r="B141" s="12"/>
      <c r="C141" s="12"/>
    </row>
    <row r="142" ht="15.75" customHeight="1">
      <c r="A142" s="12"/>
      <c r="B142" s="12"/>
      <c r="C142" s="12"/>
    </row>
    <row r="143" ht="15.75" customHeight="1">
      <c r="A143" s="12"/>
      <c r="B143" s="12"/>
      <c r="C143" s="12"/>
    </row>
    <row r="144" ht="15.75" customHeight="1">
      <c r="A144" s="12"/>
      <c r="B144" s="12"/>
      <c r="C144" s="12"/>
    </row>
    <row r="145" ht="15.75" customHeight="1">
      <c r="A145" s="12"/>
      <c r="B145" s="12"/>
      <c r="C145" s="12"/>
    </row>
    <row r="146" ht="15.75" customHeight="1">
      <c r="A146" s="12"/>
      <c r="B146" s="12"/>
      <c r="C146" s="12"/>
    </row>
    <row r="147" ht="15.75" customHeight="1">
      <c r="A147" s="12"/>
      <c r="B147" s="12"/>
      <c r="C147" s="12"/>
    </row>
    <row r="148" ht="15.75" customHeight="1">
      <c r="A148" s="12"/>
      <c r="B148" s="12"/>
      <c r="C148" s="12"/>
    </row>
    <row r="149" ht="15.75" customHeight="1">
      <c r="A149" s="12"/>
      <c r="B149" s="12"/>
      <c r="C149" s="12"/>
    </row>
    <row r="150" ht="15.75" customHeight="1">
      <c r="A150" s="12"/>
      <c r="B150" s="12"/>
      <c r="C150" s="12"/>
    </row>
    <row r="151" ht="15.75" customHeight="1">
      <c r="A151" s="12"/>
      <c r="B151" s="12"/>
      <c r="C151" s="12"/>
    </row>
    <row r="152" ht="15.75" customHeight="1">
      <c r="A152" s="12"/>
      <c r="B152" s="12"/>
      <c r="C152" s="12"/>
    </row>
    <row r="153" ht="15.75" customHeight="1">
      <c r="A153" s="12"/>
      <c r="B153" s="12"/>
      <c r="C153" s="12"/>
    </row>
    <row r="154" ht="15.75" customHeight="1">
      <c r="A154" s="12"/>
      <c r="B154" s="12"/>
      <c r="C154" s="12"/>
    </row>
    <row r="155" ht="15.75" customHeight="1">
      <c r="A155" s="12"/>
      <c r="B155" s="12"/>
      <c r="C155" s="12"/>
    </row>
    <row r="156" ht="15.75" customHeight="1">
      <c r="A156" s="12"/>
      <c r="B156" s="12"/>
      <c r="C156" s="12"/>
    </row>
    <row r="157" ht="15.75" customHeight="1">
      <c r="A157" s="12"/>
      <c r="B157" s="12"/>
      <c r="C157" s="12"/>
    </row>
    <row r="158" ht="15.75" customHeight="1">
      <c r="A158" s="12"/>
      <c r="B158" s="12"/>
      <c r="C158" s="12"/>
    </row>
    <row r="159" ht="15.75" customHeight="1">
      <c r="A159" s="12"/>
      <c r="B159" s="12"/>
      <c r="C159" s="12"/>
    </row>
    <row r="160" ht="15.75" customHeight="1">
      <c r="A160" s="12"/>
      <c r="B160" s="12"/>
      <c r="C160" s="12"/>
    </row>
    <row r="161" ht="15.75" customHeight="1">
      <c r="A161" s="12"/>
      <c r="B161" s="12"/>
      <c r="C161" s="12"/>
    </row>
    <row r="162" ht="15.75" customHeight="1">
      <c r="A162" s="12"/>
      <c r="B162" s="12"/>
      <c r="C162" s="12"/>
    </row>
    <row r="163" ht="15.75" customHeight="1">
      <c r="A163" s="12"/>
      <c r="B163" s="12"/>
      <c r="C163" s="12"/>
    </row>
    <row r="164" ht="15.75" customHeight="1">
      <c r="A164" s="12"/>
      <c r="B164" s="12"/>
      <c r="C164" s="12"/>
    </row>
    <row r="165" ht="15.75" customHeight="1">
      <c r="A165" s="12"/>
      <c r="B165" s="12"/>
      <c r="C165" s="12"/>
    </row>
    <row r="166" ht="15.75" customHeight="1">
      <c r="A166" s="12"/>
      <c r="B166" s="12"/>
      <c r="C166" s="12"/>
    </row>
    <row r="167" ht="15.75" customHeight="1">
      <c r="A167" s="12"/>
      <c r="B167" s="12"/>
      <c r="C167" s="12"/>
    </row>
    <row r="168" ht="15.75" customHeight="1">
      <c r="A168" s="12"/>
      <c r="B168" s="12"/>
      <c r="C168" s="12"/>
    </row>
    <row r="169" ht="15.75" customHeight="1">
      <c r="A169" s="12"/>
      <c r="B169" s="12"/>
      <c r="C169" s="12"/>
    </row>
    <row r="170" ht="15.75" customHeight="1">
      <c r="A170" s="12"/>
      <c r="B170" s="12"/>
      <c r="C170" s="12"/>
    </row>
    <row r="171" ht="15.75" customHeight="1">
      <c r="A171" s="12"/>
      <c r="B171" s="12"/>
      <c r="C171" s="12"/>
    </row>
    <row r="172" ht="15.75" customHeight="1">
      <c r="A172" s="12"/>
      <c r="B172" s="12"/>
      <c r="C172" s="12"/>
    </row>
    <row r="173" ht="15.75" customHeight="1">
      <c r="A173" s="12"/>
      <c r="B173" s="12"/>
      <c r="C173" s="12"/>
    </row>
    <row r="174" ht="15.75" customHeight="1">
      <c r="A174" s="12"/>
      <c r="B174" s="12"/>
      <c r="C174" s="12"/>
    </row>
    <row r="175" ht="15.75" customHeight="1">
      <c r="A175" s="12"/>
      <c r="B175" s="12"/>
      <c r="C175" s="12"/>
    </row>
    <row r="176" ht="15.75" customHeight="1">
      <c r="A176" s="12"/>
      <c r="B176" s="12"/>
      <c r="C176" s="12"/>
    </row>
    <row r="177" ht="15.75" customHeight="1">
      <c r="A177" s="12"/>
      <c r="B177" s="12"/>
      <c r="C177" s="12"/>
    </row>
    <row r="178" ht="15.75" customHeight="1">
      <c r="A178" s="12"/>
      <c r="B178" s="12"/>
      <c r="C178" s="12"/>
    </row>
    <row r="179" ht="15.75" customHeight="1">
      <c r="A179" s="12"/>
      <c r="B179" s="12"/>
      <c r="C179" s="12"/>
    </row>
    <row r="180" ht="15.75" customHeight="1">
      <c r="A180" s="12"/>
      <c r="B180" s="12"/>
      <c r="C180" s="12"/>
    </row>
    <row r="181" ht="15.75" customHeight="1">
      <c r="A181" s="12"/>
      <c r="B181" s="12"/>
      <c r="C181" s="12"/>
    </row>
    <row r="182" ht="15.75" customHeight="1">
      <c r="A182" s="12"/>
      <c r="B182" s="12"/>
      <c r="C182" s="12"/>
    </row>
    <row r="183" ht="15.75" customHeight="1">
      <c r="A183" s="12"/>
      <c r="B183" s="12"/>
      <c r="C183" s="12"/>
    </row>
    <row r="184" ht="15.75" customHeight="1">
      <c r="A184" s="12"/>
      <c r="B184" s="12"/>
      <c r="C184" s="12"/>
    </row>
    <row r="185" ht="15.75" customHeight="1">
      <c r="A185" s="12"/>
      <c r="B185" s="12"/>
      <c r="C185" s="12"/>
    </row>
    <row r="186" ht="15.75" customHeight="1">
      <c r="A186" s="12"/>
      <c r="B186" s="12"/>
      <c r="C186" s="12"/>
    </row>
    <row r="187" ht="15.75" customHeight="1">
      <c r="A187" s="12"/>
      <c r="B187" s="12"/>
      <c r="C187" s="12"/>
    </row>
    <row r="188" ht="15.75" customHeight="1">
      <c r="A188" s="12"/>
      <c r="B188" s="12"/>
      <c r="C188" s="12"/>
    </row>
    <row r="189" ht="15.75" customHeight="1">
      <c r="A189" s="12"/>
      <c r="B189" s="12"/>
      <c r="C189" s="12"/>
    </row>
    <row r="190" ht="15.75" customHeight="1">
      <c r="A190" s="12"/>
      <c r="B190" s="12"/>
      <c r="C190" s="12"/>
    </row>
    <row r="191" ht="15.75" customHeight="1">
      <c r="A191" s="12"/>
      <c r="B191" s="12"/>
      <c r="C191" s="12"/>
    </row>
    <row r="192" ht="15.75" customHeight="1">
      <c r="A192" s="12"/>
      <c r="B192" s="12"/>
      <c r="C192" s="12"/>
    </row>
    <row r="193" ht="15.75" customHeight="1">
      <c r="A193" s="12"/>
      <c r="B193" s="12"/>
      <c r="C193" s="12"/>
    </row>
    <row r="194" ht="15.75" customHeight="1">
      <c r="A194" s="12"/>
      <c r="B194" s="12"/>
      <c r="C194" s="12"/>
    </row>
    <row r="195" ht="15.75" customHeight="1">
      <c r="A195" s="12"/>
      <c r="B195" s="12"/>
      <c r="C195" s="12"/>
    </row>
    <row r="196" ht="15.75" customHeight="1">
      <c r="A196" s="12"/>
      <c r="B196" s="12"/>
      <c r="C196" s="12"/>
    </row>
    <row r="197" ht="15.75" customHeight="1">
      <c r="A197" s="12"/>
      <c r="B197" s="12"/>
      <c r="C197" s="12"/>
    </row>
    <row r="198" ht="15.75" customHeight="1">
      <c r="A198" s="12"/>
      <c r="B198" s="12"/>
      <c r="C198" s="12"/>
    </row>
    <row r="199" ht="15.75" customHeight="1">
      <c r="A199" s="12"/>
      <c r="B199" s="12"/>
      <c r="C199" s="12"/>
    </row>
    <row r="200" ht="15.75" customHeight="1">
      <c r="A200" s="12"/>
      <c r="B200" s="12"/>
      <c r="C200" s="12"/>
    </row>
    <row r="201" ht="15.75" customHeight="1">
      <c r="A201" s="12"/>
      <c r="B201" s="12"/>
      <c r="C201" s="12"/>
    </row>
    <row r="202" ht="15.75" customHeight="1">
      <c r="A202" s="12"/>
      <c r="B202" s="12"/>
      <c r="C202" s="12"/>
    </row>
    <row r="203" ht="15.75" customHeight="1">
      <c r="A203" s="12"/>
      <c r="B203" s="12"/>
      <c r="C203" s="12"/>
    </row>
    <row r="204" ht="15.75" customHeight="1">
      <c r="A204" s="12"/>
      <c r="B204" s="12"/>
      <c r="C204" s="12"/>
    </row>
    <row r="205" ht="15.75" customHeight="1">
      <c r="A205" s="12"/>
      <c r="B205" s="12"/>
      <c r="C205" s="12"/>
    </row>
    <row r="206" ht="15.75" customHeight="1">
      <c r="A206" s="12"/>
      <c r="B206" s="12"/>
      <c r="C206" s="12"/>
    </row>
    <row r="207" ht="15.75" customHeight="1">
      <c r="A207" s="12"/>
      <c r="B207" s="12"/>
      <c r="C207" s="12"/>
    </row>
    <row r="208" ht="15.75" customHeight="1">
      <c r="A208" s="12"/>
      <c r="B208" s="12"/>
      <c r="C208" s="12"/>
    </row>
    <row r="209" ht="15.75" customHeight="1">
      <c r="A209" s="12"/>
      <c r="B209" s="12"/>
      <c r="C209" s="12"/>
    </row>
    <row r="210" ht="15.75" customHeight="1">
      <c r="A210" s="12"/>
      <c r="B210" s="12"/>
      <c r="C210" s="12"/>
    </row>
    <row r="211" ht="15.75" customHeight="1">
      <c r="A211" s="12"/>
      <c r="B211" s="12"/>
      <c r="C211" s="12"/>
    </row>
    <row r="212" ht="15.75" customHeight="1">
      <c r="A212" s="12"/>
      <c r="B212" s="12"/>
      <c r="C212" s="12"/>
    </row>
    <row r="213" ht="15.75" customHeight="1">
      <c r="A213" s="12"/>
      <c r="B213" s="12"/>
      <c r="C213" s="12"/>
    </row>
    <row r="214" ht="15.75" customHeight="1">
      <c r="A214" s="12"/>
      <c r="B214" s="12"/>
      <c r="C214" s="12"/>
    </row>
    <row r="215" ht="15.75" customHeight="1">
      <c r="A215" s="12"/>
      <c r="B215" s="12"/>
      <c r="C215" s="12"/>
    </row>
    <row r="216" ht="15.75" customHeight="1">
      <c r="A216" s="12"/>
      <c r="B216" s="12"/>
      <c r="C216" s="12"/>
    </row>
    <row r="217" ht="15.75" customHeight="1">
      <c r="A217" s="12"/>
      <c r="B217" s="12"/>
      <c r="C217" s="12"/>
    </row>
    <row r="218" ht="15.75" customHeight="1">
      <c r="A218" s="12"/>
      <c r="B218" s="12"/>
      <c r="C218" s="12"/>
    </row>
    <row r="219" ht="15.75" customHeight="1">
      <c r="A219" s="12"/>
      <c r="B219" s="12"/>
      <c r="C219" s="12"/>
    </row>
    <row r="220" ht="15.75" customHeight="1">
      <c r="A220" s="12"/>
      <c r="B220" s="12"/>
      <c r="C220" s="1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2.0"/>
    <col customWidth="1" min="3" max="3" width="42.0"/>
    <col customWidth="1" min="4" max="4" width="60.0"/>
    <col customWidth="1" min="5" max="26" width="8.63"/>
  </cols>
  <sheetData>
    <row r="1" ht="30.0" customHeight="1">
      <c r="A1" s="1" t="s">
        <v>160</v>
      </c>
      <c r="B1" s="1" t="s">
        <v>161</v>
      </c>
      <c r="C1" s="1" t="s">
        <v>162</v>
      </c>
      <c r="D1" s="1" t="s">
        <v>163</v>
      </c>
    </row>
    <row r="2">
      <c r="A2" s="2" t="s">
        <v>6</v>
      </c>
      <c r="B2" s="2" t="s">
        <v>21</v>
      </c>
      <c r="C2" s="2" t="s">
        <v>164</v>
      </c>
      <c r="D2" s="2" t="s">
        <v>165</v>
      </c>
    </row>
    <row r="3">
      <c r="A3" s="2" t="s">
        <v>6</v>
      </c>
      <c r="B3" s="2" t="s">
        <v>31</v>
      </c>
      <c r="C3" s="2" t="s">
        <v>166</v>
      </c>
      <c r="D3" s="2" t="s">
        <v>167</v>
      </c>
    </row>
    <row r="4">
      <c r="A4" s="2" t="s">
        <v>6</v>
      </c>
      <c r="B4" s="2" t="s">
        <v>40</v>
      </c>
      <c r="C4" s="2" t="s">
        <v>168</v>
      </c>
      <c r="D4" s="2" t="s">
        <v>169</v>
      </c>
    </row>
    <row r="5">
      <c r="A5" s="2" t="s">
        <v>6</v>
      </c>
      <c r="B5" s="2" t="s">
        <v>56</v>
      </c>
      <c r="C5" s="2" t="s">
        <v>170</v>
      </c>
      <c r="D5" s="2" t="s">
        <v>171</v>
      </c>
    </row>
    <row r="6">
      <c r="A6" s="2" t="s">
        <v>172</v>
      </c>
      <c r="B6" s="2" t="s">
        <v>8</v>
      </c>
      <c r="C6" s="2" t="s">
        <v>173</v>
      </c>
      <c r="D6" s="2" t="s">
        <v>174</v>
      </c>
    </row>
    <row r="7">
      <c r="A7" s="2" t="s">
        <v>172</v>
      </c>
      <c r="B7" s="2" t="s">
        <v>9</v>
      </c>
      <c r="C7" s="2" t="s">
        <v>175</v>
      </c>
      <c r="D7" s="2" t="s">
        <v>176</v>
      </c>
    </row>
    <row r="8">
      <c r="A8" s="2" t="s">
        <v>172</v>
      </c>
      <c r="B8" s="2" t="s">
        <v>7</v>
      </c>
      <c r="C8" s="2" t="s">
        <v>177</v>
      </c>
      <c r="D8" s="2" t="s">
        <v>178</v>
      </c>
    </row>
    <row r="9">
      <c r="A9" s="2" t="s">
        <v>172</v>
      </c>
      <c r="B9" s="2" t="s">
        <v>179</v>
      </c>
      <c r="C9" s="2" t="s">
        <v>180</v>
      </c>
      <c r="D9" s="2" t="s">
        <v>181</v>
      </c>
    </row>
    <row r="10">
      <c r="A10" s="12"/>
      <c r="B10" s="12"/>
      <c r="C10" s="12"/>
      <c r="D10" s="12"/>
    </row>
    <row r="11">
      <c r="A11" s="12"/>
      <c r="B11" s="12"/>
      <c r="C11" s="12"/>
      <c r="D11" s="12"/>
    </row>
    <row r="12">
      <c r="A12" s="12"/>
      <c r="B12" s="12"/>
      <c r="C12" s="12"/>
      <c r="D12" s="12"/>
    </row>
    <row r="13">
      <c r="A13" s="12"/>
      <c r="B13" s="12"/>
      <c r="C13" s="12"/>
      <c r="D13" s="12"/>
    </row>
    <row r="14">
      <c r="A14" s="12"/>
      <c r="B14" s="12"/>
      <c r="C14" s="12"/>
      <c r="D14" s="12"/>
    </row>
    <row r="15">
      <c r="A15" s="12"/>
      <c r="B15" s="12"/>
      <c r="C15" s="12"/>
      <c r="D15" s="12"/>
    </row>
    <row r="16">
      <c r="A16" s="12"/>
      <c r="B16" s="12"/>
      <c r="C16" s="12"/>
      <c r="D16" s="12"/>
    </row>
    <row r="17">
      <c r="A17" s="12"/>
      <c r="B17" s="12"/>
      <c r="C17" s="12"/>
      <c r="D17" s="12"/>
    </row>
    <row r="18">
      <c r="A18" s="12"/>
      <c r="B18" s="12"/>
      <c r="C18" s="12"/>
      <c r="D18" s="12"/>
    </row>
    <row r="19">
      <c r="A19" s="12"/>
      <c r="B19" s="12"/>
      <c r="C19" s="12"/>
      <c r="D19" s="12"/>
    </row>
    <row r="20">
      <c r="A20" s="12"/>
      <c r="B20" s="12"/>
      <c r="C20" s="12"/>
      <c r="D20" s="12"/>
    </row>
    <row r="21" ht="15.75" customHeight="1">
      <c r="A21" s="12"/>
      <c r="B21" s="12"/>
      <c r="C21" s="12"/>
      <c r="D21" s="12"/>
    </row>
    <row r="22" ht="15.75" customHeight="1">
      <c r="A22" s="12"/>
      <c r="B22" s="12"/>
      <c r="C22" s="12"/>
      <c r="D22" s="12"/>
    </row>
    <row r="23" ht="15.75" customHeight="1">
      <c r="A23" s="12"/>
      <c r="B23" s="12"/>
      <c r="C23" s="12"/>
      <c r="D23" s="12"/>
    </row>
    <row r="24" ht="15.75" customHeight="1">
      <c r="A24" s="12"/>
      <c r="B24" s="12"/>
      <c r="C24" s="12"/>
      <c r="D24" s="12"/>
    </row>
    <row r="25" ht="15.75" customHeight="1">
      <c r="A25" s="12"/>
      <c r="B25" s="12"/>
      <c r="C25" s="12"/>
      <c r="D25" s="12"/>
    </row>
    <row r="26" ht="15.75" customHeight="1">
      <c r="A26" s="12"/>
      <c r="B26" s="12"/>
      <c r="C26" s="12"/>
      <c r="D26" s="12"/>
    </row>
    <row r="27" ht="15.75" customHeight="1">
      <c r="A27" s="12"/>
      <c r="B27" s="12"/>
      <c r="C27" s="12"/>
      <c r="D27" s="12"/>
    </row>
    <row r="28" ht="15.75" customHeight="1">
      <c r="A28" s="12"/>
      <c r="B28" s="12"/>
      <c r="C28" s="12"/>
      <c r="D28" s="12"/>
    </row>
    <row r="29" ht="15.75" customHeight="1">
      <c r="A29" s="12"/>
      <c r="B29" s="12"/>
      <c r="C29" s="12"/>
      <c r="D29" s="12"/>
    </row>
    <row r="30" ht="15.75" customHeight="1">
      <c r="A30" s="12"/>
      <c r="B30" s="12"/>
      <c r="C30" s="12"/>
      <c r="D30" s="12"/>
    </row>
    <row r="31" ht="15.75" customHeight="1">
      <c r="A31" s="12"/>
      <c r="B31" s="12"/>
      <c r="C31" s="12"/>
      <c r="D31" s="12"/>
    </row>
    <row r="32" ht="15.75" customHeight="1">
      <c r="A32" s="12"/>
      <c r="B32" s="12"/>
      <c r="C32" s="12"/>
      <c r="D32" s="12"/>
    </row>
    <row r="33" ht="15.75" customHeight="1">
      <c r="A33" s="12"/>
      <c r="B33" s="12"/>
      <c r="C33" s="12"/>
      <c r="D33" s="12"/>
    </row>
    <row r="34" ht="15.75" customHeight="1">
      <c r="A34" s="12"/>
      <c r="B34" s="12"/>
      <c r="C34" s="12"/>
      <c r="D34" s="12"/>
    </row>
    <row r="35" ht="15.75" customHeight="1">
      <c r="A35" s="12"/>
      <c r="B35" s="12"/>
      <c r="C35" s="12"/>
      <c r="D35" s="12"/>
    </row>
    <row r="36" ht="15.75" customHeight="1">
      <c r="A36" s="12"/>
      <c r="B36" s="12"/>
      <c r="C36" s="12"/>
      <c r="D36" s="12"/>
    </row>
    <row r="37" ht="15.75" customHeight="1">
      <c r="A37" s="12"/>
      <c r="B37" s="12"/>
      <c r="C37" s="12"/>
      <c r="D37" s="12"/>
    </row>
    <row r="38" ht="15.75" customHeight="1">
      <c r="A38" s="12"/>
      <c r="B38" s="12"/>
      <c r="C38" s="12"/>
      <c r="D38" s="12"/>
    </row>
    <row r="39" ht="15.75" customHeight="1">
      <c r="A39" s="12"/>
      <c r="B39" s="12"/>
      <c r="C39" s="12"/>
      <c r="D39" s="12"/>
    </row>
    <row r="40" ht="15.75" customHeight="1">
      <c r="A40" s="12"/>
      <c r="B40" s="12"/>
      <c r="C40" s="12"/>
      <c r="D40" s="12"/>
    </row>
    <row r="41" ht="15.75" customHeight="1">
      <c r="A41" s="12"/>
      <c r="B41" s="12"/>
      <c r="C41" s="12"/>
      <c r="D41" s="12"/>
    </row>
    <row r="42" ht="15.75" customHeight="1">
      <c r="A42" s="12"/>
      <c r="B42" s="12"/>
      <c r="C42" s="12"/>
      <c r="D42" s="12"/>
    </row>
    <row r="43" ht="15.75" customHeight="1">
      <c r="A43" s="12"/>
      <c r="B43" s="12"/>
      <c r="C43" s="12"/>
      <c r="D43" s="12"/>
    </row>
    <row r="44" ht="15.75" customHeight="1">
      <c r="A44" s="12"/>
      <c r="B44" s="12"/>
      <c r="C44" s="12"/>
      <c r="D44" s="12"/>
    </row>
    <row r="45" ht="15.75" customHeight="1">
      <c r="A45" s="12"/>
      <c r="B45" s="12"/>
      <c r="C45" s="12"/>
      <c r="D45" s="12"/>
    </row>
    <row r="46" ht="15.75" customHeight="1">
      <c r="A46" s="12"/>
      <c r="B46" s="12"/>
      <c r="C46" s="12"/>
      <c r="D46" s="12"/>
    </row>
    <row r="47" ht="15.75" customHeight="1">
      <c r="A47" s="12"/>
      <c r="B47" s="12"/>
      <c r="C47" s="12"/>
      <c r="D47" s="12"/>
    </row>
    <row r="48" ht="15.75" customHeight="1">
      <c r="A48" s="12"/>
      <c r="B48" s="12"/>
      <c r="C48" s="12"/>
      <c r="D48" s="12"/>
    </row>
    <row r="49" ht="15.75" customHeight="1">
      <c r="A49" s="12"/>
      <c r="B49" s="12"/>
      <c r="C49" s="12"/>
      <c r="D49" s="12"/>
    </row>
    <row r="50" ht="15.75" customHeight="1">
      <c r="A50" s="12"/>
      <c r="B50" s="12"/>
      <c r="C50" s="12"/>
      <c r="D50" s="12"/>
    </row>
    <row r="51" ht="15.75" customHeight="1">
      <c r="A51" s="12"/>
      <c r="B51" s="12"/>
      <c r="C51" s="12"/>
      <c r="D51" s="12"/>
    </row>
    <row r="52" ht="15.75" customHeight="1">
      <c r="A52" s="12"/>
      <c r="B52" s="12"/>
      <c r="C52" s="12"/>
      <c r="D52" s="12"/>
    </row>
    <row r="53" ht="15.75" customHeight="1">
      <c r="A53" s="12"/>
      <c r="B53" s="12"/>
      <c r="C53" s="12"/>
      <c r="D53" s="12"/>
    </row>
    <row r="54" ht="15.75" customHeight="1">
      <c r="A54" s="12"/>
      <c r="B54" s="12"/>
      <c r="C54" s="12"/>
      <c r="D54" s="12"/>
    </row>
    <row r="55" ht="15.75" customHeight="1">
      <c r="A55" s="12"/>
      <c r="B55" s="12"/>
      <c r="C55" s="12"/>
      <c r="D55" s="12"/>
    </row>
    <row r="56" ht="15.75" customHeight="1">
      <c r="A56" s="12"/>
      <c r="B56" s="12"/>
      <c r="C56" s="12"/>
      <c r="D56" s="12"/>
    </row>
    <row r="57" ht="15.75" customHeight="1">
      <c r="A57" s="12"/>
      <c r="B57" s="12"/>
      <c r="C57" s="12"/>
      <c r="D57" s="12"/>
    </row>
    <row r="58" ht="15.75" customHeight="1">
      <c r="A58" s="12"/>
      <c r="B58" s="12"/>
      <c r="C58" s="12"/>
      <c r="D58" s="12"/>
    </row>
    <row r="59" ht="15.75" customHeight="1">
      <c r="A59" s="12"/>
      <c r="B59" s="12"/>
      <c r="C59" s="12"/>
      <c r="D59" s="12"/>
    </row>
    <row r="60" ht="15.75" customHeight="1">
      <c r="A60" s="12"/>
      <c r="B60" s="12"/>
      <c r="C60" s="12"/>
      <c r="D60" s="12"/>
    </row>
    <row r="61" ht="15.75" customHeight="1">
      <c r="A61" s="12"/>
      <c r="B61" s="12"/>
      <c r="C61" s="12"/>
      <c r="D61" s="12"/>
    </row>
    <row r="62" ht="15.75" customHeight="1">
      <c r="A62" s="12"/>
      <c r="B62" s="12"/>
      <c r="C62" s="12"/>
      <c r="D62" s="12"/>
    </row>
    <row r="63" ht="15.75" customHeight="1">
      <c r="A63" s="12"/>
      <c r="B63" s="12"/>
      <c r="C63" s="12"/>
      <c r="D63" s="12"/>
    </row>
    <row r="64" ht="15.75" customHeight="1">
      <c r="A64" s="12"/>
      <c r="B64" s="12"/>
      <c r="C64" s="12"/>
      <c r="D64" s="12"/>
    </row>
    <row r="65" ht="15.75" customHeight="1">
      <c r="A65" s="12"/>
      <c r="B65" s="12"/>
      <c r="C65" s="12"/>
      <c r="D65" s="12"/>
    </row>
    <row r="66" ht="15.75" customHeight="1">
      <c r="A66" s="12"/>
      <c r="B66" s="12"/>
      <c r="C66" s="12"/>
      <c r="D66" s="12"/>
    </row>
    <row r="67" ht="15.75" customHeight="1">
      <c r="A67" s="12"/>
      <c r="B67" s="12"/>
      <c r="C67" s="12"/>
      <c r="D67" s="12"/>
    </row>
    <row r="68" ht="15.75" customHeight="1">
      <c r="A68" s="12"/>
      <c r="B68" s="12"/>
      <c r="C68" s="12"/>
      <c r="D68" s="12"/>
    </row>
    <row r="69" ht="15.75" customHeight="1">
      <c r="A69" s="12"/>
      <c r="B69" s="12"/>
      <c r="C69" s="12"/>
      <c r="D69" s="12"/>
    </row>
    <row r="70" ht="15.75" customHeight="1">
      <c r="A70" s="12"/>
      <c r="B70" s="12"/>
      <c r="C70" s="12"/>
      <c r="D70" s="12"/>
    </row>
    <row r="71" ht="15.75" customHeight="1">
      <c r="A71" s="12"/>
      <c r="B71" s="12"/>
      <c r="C71" s="12"/>
      <c r="D71" s="12"/>
    </row>
    <row r="72" ht="15.75" customHeight="1">
      <c r="A72" s="12"/>
      <c r="B72" s="12"/>
      <c r="C72" s="12"/>
      <c r="D72" s="12"/>
    </row>
    <row r="73" ht="15.75" customHeight="1">
      <c r="A73" s="12"/>
      <c r="B73" s="12"/>
      <c r="C73" s="12"/>
      <c r="D73" s="12"/>
    </row>
    <row r="74" ht="15.75" customHeight="1">
      <c r="A74" s="12"/>
      <c r="B74" s="12"/>
      <c r="C74" s="12"/>
      <c r="D74" s="12"/>
    </row>
    <row r="75" ht="15.75" customHeight="1">
      <c r="A75" s="12"/>
      <c r="B75" s="12"/>
      <c r="C75" s="12"/>
      <c r="D75" s="12"/>
    </row>
    <row r="76" ht="15.75" customHeight="1">
      <c r="A76" s="12"/>
      <c r="B76" s="12"/>
      <c r="C76" s="12"/>
      <c r="D76" s="12"/>
    </row>
    <row r="77" ht="15.75" customHeight="1">
      <c r="A77" s="12"/>
      <c r="B77" s="12"/>
      <c r="C77" s="12"/>
      <c r="D77" s="12"/>
    </row>
    <row r="78" ht="15.75" customHeight="1">
      <c r="A78" s="12"/>
      <c r="B78" s="12"/>
      <c r="C78" s="12"/>
      <c r="D78" s="12"/>
    </row>
    <row r="79" ht="15.75" customHeight="1">
      <c r="A79" s="12"/>
      <c r="B79" s="12"/>
      <c r="C79" s="12"/>
      <c r="D79" s="12"/>
    </row>
    <row r="80" ht="15.75" customHeight="1">
      <c r="A80" s="12"/>
      <c r="B80" s="12"/>
      <c r="C80" s="12"/>
      <c r="D80" s="12"/>
    </row>
    <row r="81" ht="15.75" customHeight="1">
      <c r="A81" s="12"/>
      <c r="B81" s="12"/>
      <c r="C81" s="12"/>
      <c r="D81" s="12"/>
    </row>
    <row r="82" ht="15.75" customHeight="1">
      <c r="A82" s="12"/>
      <c r="B82" s="12"/>
      <c r="C82" s="12"/>
      <c r="D82" s="12"/>
    </row>
    <row r="83" ht="15.75" customHeight="1">
      <c r="A83" s="12"/>
      <c r="B83" s="12"/>
      <c r="C83" s="12"/>
      <c r="D83" s="12"/>
    </row>
    <row r="84" ht="15.75" customHeight="1">
      <c r="A84" s="12"/>
      <c r="B84" s="12"/>
      <c r="C84" s="12"/>
      <c r="D84" s="12"/>
    </row>
    <row r="85" ht="15.75" customHeight="1">
      <c r="A85" s="12"/>
      <c r="B85" s="12"/>
      <c r="C85" s="12"/>
      <c r="D85" s="12"/>
    </row>
    <row r="86" ht="15.75" customHeight="1">
      <c r="A86" s="12"/>
      <c r="B86" s="12"/>
      <c r="C86" s="12"/>
      <c r="D86" s="12"/>
    </row>
    <row r="87" ht="15.75" customHeight="1">
      <c r="A87" s="12"/>
      <c r="B87" s="12"/>
      <c r="C87" s="12"/>
      <c r="D87" s="12"/>
    </row>
    <row r="88" ht="15.75" customHeight="1">
      <c r="A88" s="12"/>
      <c r="B88" s="12"/>
      <c r="C88" s="12"/>
      <c r="D88" s="12"/>
    </row>
    <row r="89" ht="15.75" customHeight="1">
      <c r="A89" s="12"/>
      <c r="B89" s="12"/>
      <c r="C89" s="12"/>
      <c r="D89" s="12"/>
    </row>
    <row r="90" ht="15.75" customHeight="1">
      <c r="A90" s="12"/>
      <c r="B90" s="12"/>
      <c r="C90" s="12"/>
      <c r="D90" s="12"/>
    </row>
    <row r="91" ht="15.75" customHeight="1">
      <c r="A91" s="12"/>
      <c r="B91" s="12"/>
      <c r="C91" s="12"/>
      <c r="D91" s="12"/>
    </row>
    <row r="92" ht="15.75" customHeight="1">
      <c r="A92" s="12"/>
      <c r="B92" s="12"/>
      <c r="C92" s="12"/>
      <c r="D92" s="12"/>
    </row>
    <row r="93" ht="15.75" customHeight="1">
      <c r="A93" s="12"/>
      <c r="B93" s="12"/>
      <c r="C93" s="12"/>
      <c r="D93" s="12"/>
    </row>
    <row r="94" ht="15.75" customHeight="1">
      <c r="A94" s="12"/>
      <c r="B94" s="12"/>
      <c r="C94" s="12"/>
      <c r="D94" s="12"/>
    </row>
    <row r="95" ht="15.75" customHeight="1">
      <c r="A95" s="12"/>
      <c r="B95" s="12"/>
      <c r="C95" s="12"/>
      <c r="D95" s="12"/>
    </row>
    <row r="96" ht="15.75" customHeight="1">
      <c r="A96" s="12"/>
      <c r="B96" s="12"/>
      <c r="C96" s="12"/>
      <c r="D96" s="12"/>
    </row>
    <row r="97" ht="15.75" customHeight="1">
      <c r="A97" s="12"/>
      <c r="B97" s="12"/>
      <c r="C97" s="12"/>
      <c r="D97" s="12"/>
    </row>
    <row r="98" ht="15.75" customHeight="1">
      <c r="A98" s="12"/>
      <c r="B98" s="12"/>
      <c r="C98" s="12"/>
      <c r="D98" s="12"/>
    </row>
    <row r="99" ht="15.75" customHeight="1">
      <c r="A99" s="12"/>
      <c r="B99" s="12"/>
      <c r="C99" s="12"/>
      <c r="D99" s="12"/>
    </row>
    <row r="100" ht="15.75" customHeight="1">
      <c r="A100" s="12"/>
      <c r="B100" s="12"/>
      <c r="C100" s="12"/>
      <c r="D100" s="12"/>
    </row>
    <row r="101" ht="15.75" customHeight="1">
      <c r="A101" s="12"/>
      <c r="B101" s="12"/>
      <c r="C101" s="12"/>
      <c r="D101" s="12"/>
    </row>
    <row r="102" ht="15.75" customHeight="1">
      <c r="A102" s="12"/>
      <c r="B102" s="12"/>
      <c r="C102" s="12"/>
      <c r="D102" s="12"/>
    </row>
    <row r="103" ht="15.75" customHeight="1">
      <c r="A103" s="12"/>
      <c r="B103" s="12"/>
      <c r="C103" s="12"/>
      <c r="D103" s="12"/>
    </row>
    <row r="104" ht="15.75" customHeight="1">
      <c r="A104" s="12"/>
      <c r="B104" s="12"/>
      <c r="C104" s="12"/>
      <c r="D104" s="12"/>
    </row>
    <row r="105" ht="15.75" customHeight="1">
      <c r="A105" s="12"/>
      <c r="B105" s="12"/>
      <c r="C105" s="12"/>
      <c r="D105" s="12"/>
    </row>
    <row r="106" ht="15.75" customHeight="1">
      <c r="A106" s="12"/>
      <c r="B106" s="12"/>
      <c r="C106" s="12"/>
      <c r="D106" s="12"/>
    </row>
    <row r="107" ht="15.75" customHeight="1">
      <c r="A107" s="12"/>
      <c r="B107" s="12"/>
      <c r="C107" s="12"/>
      <c r="D107" s="12"/>
    </row>
    <row r="108" ht="15.75" customHeight="1">
      <c r="A108" s="12"/>
      <c r="B108" s="12"/>
      <c r="C108" s="12"/>
      <c r="D108" s="12"/>
    </row>
    <row r="109" ht="15.75" customHeight="1">
      <c r="A109" s="12"/>
      <c r="B109" s="12"/>
      <c r="C109" s="12"/>
      <c r="D109" s="12"/>
    </row>
    <row r="110" ht="15.75" customHeight="1">
      <c r="A110" s="12"/>
      <c r="B110" s="12"/>
      <c r="C110" s="12"/>
      <c r="D110" s="12"/>
    </row>
    <row r="111" ht="15.75" customHeight="1">
      <c r="A111" s="12"/>
      <c r="B111" s="12"/>
      <c r="C111" s="12"/>
      <c r="D111" s="12"/>
    </row>
    <row r="112" ht="15.75" customHeight="1">
      <c r="A112" s="12"/>
      <c r="B112" s="12"/>
      <c r="C112" s="12"/>
      <c r="D112" s="12"/>
    </row>
    <row r="113" ht="15.75" customHeight="1">
      <c r="A113" s="12"/>
      <c r="B113" s="12"/>
      <c r="C113" s="12"/>
      <c r="D113" s="12"/>
    </row>
    <row r="114" ht="15.75" customHeight="1">
      <c r="A114" s="12"/>
      <c r="B114" s="12"/>
      <c r="C114" s="12"/>
      <c r="D114" s="12"/>
    </row>
    <row r="115" ht="15.75" customHeight="1">
      <c r="A115" s="12"/>
      <c r="B115" s="12"/>
      <c r="C115" s="12"/>
      <c r="D115" s="12"/>
    </row>
    <row r="116" ht="15.75" customHeight="1">
      <c r="A116" s="12"/>
      <c r="B116" s="12"/>
      <c r="C116" s="12"/>
      <c r="D116" s="12"/>
    </row>
    <row r="117" ht="15.75" customHeight="1">
      <c r="A117" s="12"/>
      <c r="B117" s="12"/>
      <c r="C117" s="12"/>
      <c r="D117" s="12"/>
    </row>
    <row r="118" ht="15.75" customHeight="1">
      <c r="A118" s="12"/>
      <c r="B118" s="12"/>
      <c r="C118" s="12"/>
      <c r="D118" s="12"/>
    </row>
    <row r="119" ht="15.75" customHeight="1">
      <c r="A119" s="12"/>
      <c r="B119" s="12"/>
      <c r="C119" s="12"/>
      <c r="D119" s="12"/>
    </row>
    <row r="120" ht="15.75" customHeight="1">
      <c r="A120" s="12"/>
      <c r="B120" s="12"/>
      <c r="C120" s="12"/>
      <c r="D120" s="12"/>
    </row>
    <row r="121" ht="15.75" customHeight="1">
      <c r="A121" s="12"/>
      <c r="B121" s="12"/>
      <c r="C121" s="12"/>
      <c r="D121" s="12"/>
    </row>
    <row r="122" ht="15.75" customHeight="1">
      <c r="A122" s="12"/>
      <c r="B122" s="12"/>
      <c r="C122" s="12"/>
      <c r="D122" s="12"/>
    </row>
    <row r="123" ht="15.75" customHeight="1">
      <c r="A123" s="12"/>
      <c r="B123" s="12"/>
      <c r="C123" s="12"/>
      <c r="D123" s="12"/>
    </row>
    <row r="124" ht="15.75" customHeight="1">
      <c r="A124" s="12"/>
      <c r="B124" s="12"/>
      <c r="C124" s="12"/>
      <c r="D124" s="12"/>
    </row>
    <row r="125" ht="15.75" customHeight="1">
      <c r="A125" s="12"/>
      <c r="B125" s="12"/>
      <c r="C125" s="12"/>
      <c r="D125" s="12"/>
    </row>
    <row r="126" ht="15.75" customHeight="1">
      <c r="A126" s="12"/>
      <c r="B126" s="12"/>
      <c r="C126" s="12"/>
      <c r="D126" s="12"/>
    </row>
    <row r="127" ht="15.75" customHeight="1">
      <c r="A127" s="12"/>
      <c r="B127" s="12"/>
      <c r="C127" s="12"/>
      <c r="D127" s="12"/>
    </row>
    <row r="128" ht="15.75" customHeight="1">
      <c r="A128" s="12"/>
      <c r="B128" s="12"/>
      <c r="C128" s="12"/>
      <c r="D128" s="12"/>
    </row>
    <row r="129" ht="15.75" customHeight="1">
      <c r="A129" s="12"/>
      <c r="B129" s="12"/>
      <c r="C129" s="12"/>
      <c r="D129" s="12"/>
    </row>
    <row r="130" ht="15.75" customHeight="1">
      <c r="A130" s="12"/>
      <c r="B130" s="12"/>
      <c r="C130" s="12"/>
      <c r="D130" s="12"/>
    </row>
    <row r="131" ht="15.75" customHeight="1">
      <c r="A131" s="12"/>
      <c r="B131" s="12"/>
      <c r="C131" s="12"/>
      <c r="D131" s="12"/>
    </row>
    <row r="132" ht="15.75" customHeight="1">
      <c r="A132" s="12"/>
      <c r="B132" s="12"/>
      <c r="C132" s="12"/>
      <c r="D132" s="12"/>
    </row>
    <row r="133" ht="15.75" customHeight="1">
      <c r="A133" s="12"/>
      <c r="B133" s="12"/>
      <c r="C133" s="12"/>
      <c r="D133" s="12"/>
    </row>
    <row r="134" ht="15.75" customHeight="1">
      <c r="A134" s="12"/>
      <c r="B134" s="12"/>
      <c r="C134" s="12"/>
      <c r="D134" s="12"/>
    </row>
    <row r="135" ht="15.75" customHeight="1">
      <c r="A135" s="12"/>
      <c r="B135" s="12"/>
      <c r="C135" s="12"/>
      <c r="D135" s="12"/>
    </row>
    <row r="136" ht="15.75" customHeight="1">
      <c r="A136" s="12"/>
      <c r="B136" s="12"/>
      <c r="C136" s="12"/>
      <c r="D136" s="12"/>
    </row>
    <row r="137" ht="15.75" customHeight="1">
      <c r="A137" s="12"/>
      <c r="B137" s="12"/>
      <c r="C137" s="12"/>
      <c r="D137" s="12"/>
    </row>
    <row r="138" ht="15.75" customHeight="1">
      <c r="A138" s="12"/>
      <c r="B138" s="12"/>
      <c r="C138" s="12"/>
      <c r="D138" s="12"/>
    </row>
    <row r="139" ht="15.75" customHeight="1">
      <c r="A139" s="12"/>
      <c r="B139" s="12"/>
      <c r="C139" s="12"/>
      <c r="D139" s="12"/>
    </row>
    <row r="140" ht="15.75" customHeight="1">
      <c r="A140" s="12"/>
      <c r="B140" s="12"/>
      <c r="C140" s="12"/>
      <c r="D140" s="12"/>
    </row>
    <row r="141" ht="15.75" customHeight="1">
      <c r="A141" s="12"/>
      <c r="B141" s="12"/>
      <c r="C141" s="12"/>
      <c r="D141" s="12"/>
    </row>
    <row r="142" ht="15.75" customHeight="1">
      <c r="A142" s="12"/>
      <c r="B142" s="12"/>
      <c r="C142" s="12"/>
      <c r="D142" s="12"/>
    </row>
    <row r="143" ht="15.75" customHeight="1">
      <c r="A143" s="12"/>
      <c r="B143" s="12"/>
      <c r="C143" s="12"/>
      <c r="D143" s="12"/>
    </row>
    <row r="144" ht="15.75" customHeight="1">
      <c r="A144" s="12"/>
      <c r="B144" s="12"/>
      <c r="C144" s="12"/>
      <c r="D144" s="12"/>
    </row>
    <row r="145" ht="15.75" customHeight="1">
      <c r="A145" s="12"/>
      <c r="B145" s="12"/>
      <c r="C145" s="12"/>
      <c r="D145" s="12"/>
    </row>
    <row r="146" ht="15.75" customHeight="1">
      <c r="A146" s="12"/>
      <c r="B146" s="12"/>
      <c r="C146" s="12"/>
      <c r="D146" s="12"/>
    </row>
    <row r="147" ht="15.75" customHeight="1">
      <c r="A147" s="12"/>
      <c r="B147" s="12"/>
      <c r="C147" s="12"/>
      <c r="D147" s="12"/>
    </row>
    <row r="148" ht="15.75" customHeight="1">
      <c r="A148" s="12"/>
      <c r="B148" s="12"/>
      <c r="C148" s="12"/>
      <c r="D148" s="12"/>
    </row>
    <row r="149" ht="15.75" customHeight="1">
      <c r="A149" s="12"/>
      <c r="B149" s="12"/>
      <c r="C149" s="12"/>
      <c r="D149" s="12"/>
    </row>
    <row r="150" ht="15.75" customHeight="1">
      <c r="A150" s="12"/>
      <c r="B150" s="12"/>
      <c r="C150" s="12"/>
      <c r="D150" s="12"/>
    </row>
    <row r="151" ht="15.75" customHeight="1">
      <c r="A151" s="12"/>
      <c r="B151" s="12"/>
      <c r="C151" s="12"/>
      <c r="D151" s="12"/>
    </row>
    <row r="152" ht="15.75" customHeight="1">
      <c r="A152" s="12"/>
      <c r="B152" s="12"/>
      <c r="C152" s="12"/>
      <c r="D152" s="12"/>
    </row>
    <row r="153" ht="15.75" customHeight="1">
      <c r="A153" s="12"/>
      <c r="B153" s="12"/>
      <c r="C153" s="12"/>
      <c r="D153" s="12"/>
    </row>
    <row r="154" ht="15.75" customHeight="1">
      <c r="A154" s="12"/>
      <c r="B154" s="12"/>
      <c r="C154" s="12"/>
      <c r="D154" s="12"/>
    </row>
    <row r="155" ht="15.75" customHeight="1">
      <c r="A155" s="12"/>
      <c r="B155" s="12"/>
      <c r="C155" s="12"/>
      <c r="D155" s="12"/>
    </row>
    <row r="156" ht="15.75" customHeight="1">
      <c r="A156" s="12"/>
      <c r="B156" s="12"/>
      <c r="C156" s="12"/>
      <c r="D156" s="12"/>
    </row>
    <row r="157" ht="15.75" customHeight="1">
      <c r="A157" s="12"/>
      <c r="B157" s="12"/>
      <c r="C157" s="12"/>
      <c r="D157" s="12"/>
    </row>
    <row r="158" ht="15.75" customHeight="1">
      <c r="A158" s="12"/>
      <c r="B158" s="12"/>
      <c r="C158" s="12"/>
      <c r="D158" s="12"/>
    </row>
    <row r="159" ht="15.75" customHeight="1">
      <c r="A159" s="12"/>
      <c r="B159" s="12"/>
      <c r="C159" s="12"/>
      <c r="D159" s="12"/>
    </row>
    <row r="160" ht="15.75" customHeight="1">
      <c r="A160" s="12"/>
      <c r="B160" s="12"/>
      <c r="C160" s="12"/>
      <c r="D160" s="12"/>
    </row>
    <row r="161" ht="15.75" customHeight="1">
      <c r="A161" s="12"/>
      <c r="B161" s="12"/>
      <c r="C161" s="12"/>
      <c r="D161" s="12"/>
    </row>
    <row r="162" ht="15.75" customHeight="1">
      <c r="A162" s="12"/>
      <c r="B162" s="12"/>
      <c r="C162" s="12"/>
      <c r="D162" s="12"/>
    </row>
    <row r="163" ht="15.75" customHeight="1">
      <c r="A163" s="12"/>
      <c r="B163" s="12"/>
      <c r="C163" s="12"/>
      <c r="D163" s="12"/>
    </row>
    <row r="164" ht="15.75" customHeight="1">
      <c r="A164" s="12"/>
      <c r="B164" s="12"/>
      <c r="C164" s="12"/>
      <c r="D164" s="12"/>
    </row>
    <row r="165" ht="15.75" customHeight="1">
      <c r="A165" s="12"/>
      <c r="B165" s="12"/>
      <c r="C165" s="12"/>
      <c r="D165" s="12"/>
    </row>
    <row r="166" ht="15.75" customHeight="1">
      <c r="A166" s="12"/>
      <c r="B166" s="12"/>
      <c r="C166" s="12"/>
      <c r="D166" s="12"/>
    </row>
    <row r="167" ht="15.75" customHeight="1">
      <c r="A167" s="12"/>
      <c r="B167" s="12"/>
      <c r="C167" s="12"/>
      <c r="D167" s="12"/>
    </row>
    <row r="168" ht="15.75" customHeight="1">
      <c r="A168" s="12"/>
      <c r="B168" s="12"/>
      <c r="C168" s="12"/>
      <c r="D168" s="12"/>
    </row>
    <row r="169" ht="15.75" customHeight="1">
      <c r="A169" s="12"/>
      <c r="B169" s="12"/>
      <c r="C169" s="12"/>
      <c r="D169" s="12"/>
    </row>
    <row r="170" ht="15.75" customHeight="1">
      <c r="A170" s="12"/>
      <c r="B170" s="12"/>
      <c r="C170" s="12"/>
      <c r="D170" s="12"/>
    </row>
    <row r="171" ht="15.75" customHeight="1">
      <c r="A171" s="12"/>
      <c r="B171" s="12"/>
      <c r="C171" s="12"/>
      <c r="D171" s="12"/>
    </row>
    <row r="172" ht="15.75" customHeight="1">
      <c r="A172" s="12"/>
      <c r="B172" s="12"/>
      <c r="C172" s="12"/>
      <c r="D172" s="12"/>
    </row>
    <row r="173" ht="15.75" customHeight="1">
      <c r="A173" s="12"/>
      <c r="B173" s="12"/>
      <c r="C173" s="12"/>
      <c r="D173" s="12"/>
    </row>
    <row r="174" ht="15.75" customHeight="1">
      <c r="A174" s="12"/>
      <c r="B174" s="12"/>
      <c r="C174" s="12"/>
      <c r="D174" s="12"/>
    </row>
    <row r="175" ht="15.75" customHeight="1">
      <c r="A175" s="12"/>
      <c r="B175" s="12"/>
      <c r="C175" s="12"/>
      <c r="D175" s="12"/>
    </row>
    <row r="176" ht="15.75" customHeight="1">
      <c r="A176" s="12"/>
      <c r="B176" s="12"/>
      <c r="C176" s="12"/>
      <c r="D176" s="12"/>
    </row>
    <row r="177" ht="15.75" customHeight="1">
      <c r="A177" s="12"/>
      <c r="B177" s="12"/>
      <c r="C177" s="12"/>
      <c r="D177" s="12"/>
    </row>
    <row r="178" ht="15.75" customHeight="1">
      <c r="A178" s="12"/>
      <c r="B178" s="12"/>
      <c r="C178" s="12"/>
      <c r="D178" s="12"/>
    </row>
    <row r="179" ht="15.75" customHeight="1">
      <c r="A179" s="12"/>
      <c r="B179" s="12"/>
      <c r="C179" s="12"/>
      <c r="D179" s="12"/>
    </row>
    <row r="180" ht="15.75" customHeight="1">
      <c r="A180" s="12"/>
      <c r="B180" s="12"/>
      <c r="C180" s="12"/>
      <c r="D180" s="12"/>
    </row>
    <row r="181" ht="15.75" customHeight="1">
      <c r="A181" s="12"/>
      <c r="B181" s="12"/>
      <c r="C181" s="12"/>
      <c r="D181" s="12"/>
    </row>
    <row r="182" ht="15.75" customHeight="1">
      <c r="A182" s="12"/>
      <c r="B182" s="12"/>
      <c r="C182" s="12"/>
      <c r="D182" s="12"/>
    </row>
    <row r="183" ht="15.75" customHeight="1">
      <c r="A183" s="12"/>
      <c r="B183" s="12"/>
      <c r="C183" s="12"/>
      <c r="D183" s="12"/>
    </row>
    <row r="184" ht="15.75" customHeight="1">
      <c r="A184" s="12"/>
      <c r="B184" s="12"/>
      <c r="C184" s="12"/>
      <c r="D184" s="12"/>
    </row>
    <row r="185" ht="15.75" customHeight="1">
      <c r="A185" s="12"/>
      <c r="B185" s="12"/>
      <c r="C185" s="12"/>
      <c r="D185" s="12"/>
    </row>
    <row r="186" ht="15.75" customHeight="1">
      <c r="A186" s="12"/>
      <c r="B186" s="12"/>
      <c r="C186" s="12"/>
      <c r="D186" s="12"/>
    </row>
    <row r="187" ht="15.75" customHeight="1">
      <c r="A187" s="12"/>
      <c r="B187" s="12"/>
      <c r="C187" s="12"/>
      <c r="D187" s="12"/>
    </row>
    <row r="188" ht="15.75" customHeight="1">
      <c r="A188" s="12"/>
      <c r="B188" s="12"/>
      <c r="C188" s="12"/>
      <c r="D188" s="12"/>
    </row>
    <row r="189" ht="15.75" customHeight="1">
      <c r="A189" s="12"/>
      <c r="B189" s="12"/>
      <c r="C189" s="12"/>
      <c r="D189" s="12"/>
    </row>
    <row r="190" ht="15.75" customHeight="1">
      <c r="A190" s="12"/>
      <c r="B190" s="12"/>
      <c r="C190" s="12"/>
      <c r="D190" s="12"/>
    </row>
    <row r="191" ht="15.75" customHeight="1">
      <c r="A191" s="12"/>
      <c r="B191" s="12"/>
      <c r="C191" s="12"/>
      <c r="D191" s="12"/>
    </row>
    <row r="192" ht="15.75" customHeight="1">
      <c r="A192" s="12"/>
      <c r="B192" s="12"/>
      <c r="C192" s="12"/>
      <c r="D192" s="12"/>
    </row>
    <row r="193" ht="15.75" customHeight="1">
      <c r="A193" s="12"/>
      <c r="B193" s="12"/>
      <c r="C193" s="12"/>
      <c r="D193" s="12"/>
    </row>
    <row r="194" ht="15.75" customHeight="1">
      <c r="A194" s="12"/>
      <c r="B194" s="12"/>
      <c r="C194" s="12"/>
      <c r="D194" s="12"/>
    </row>
    <row r="195" ht="15.75" customHeight="1">
      <c r="A195" s="12"/>
      <c r="B195" s="12"/>
      <c r="C195" s="12"/>
      <c r="D195" s="12"/>
    </row>
    <row r="196" ht="15.75" customHeight="1">
      <c r="A196" s="12"/>
      <c r="B196" s="12"/>
      <c r="C196" s="12"/>
      <c r="D196" s="12"/>
    </row>
    <row r="197" ht="15.75" customHeight="1">
      <c r="A197" s="12"/>
      <c r="B197" s="12"/>
      <c r="C197" s="12"/>
      <c r="D197" s="12"/>
    </row>
    <row r="198" ht="15.75" customHeight="1">
      <c r="A198" s="12"/>
      <c r="B198" s="12"/>
      <c r="C198" s="12"/>
      <c r="D198" s="12"/>
    </row>
    <row r="199" ht="15.75" customHeight="1">
      <c r="A199" s="12"/>
      <c r="B199" s="12"/>
      <c r="C199" s="12"/>
      <c r="D199" s="12"/>
    </row>
    <row r="200" ht="15.75" customHeight="1">
      <c r="A200" s="12"/>
      <c r="B200" s="12"/>
      <c r="C200" s="12"/>
      <c r="D200" s="12"/>
    </row>
    <row r="201" ht="15.75" customHeight="1">
      <c r="A201" s="12"/>
      <c r="B201" s="12"/>
      <c r="C201" s="12"/>
      <c r="D201" s="12"/>
    </row>
    <row r="202" ht="15.75" customHeight="1">
      <c r="A202" s="12"/>
      <c r="B202" s="12"/>
      <c r="C202" s="12"/>
      <c r="D202" s="12"/>
    </row>
    <row r="203" ht="15.75" customHeight="1">
      <c r="A203" s="12"/>
      <c r="B203" s="12"/>
      <c r="C203" s="12"/>
      <c r="D203" s="12"/>
    </row>
    <row r="204" ht="15.75" customHeight="1">
      <c r="A204" s="12"/>
      <c r="B204" s="12"/>
      <c r="C204" s="12"/>
      <c r="D204" s="12"/>
    </row>
    <row r="205" ht="15.75" customHeight="1">
      <c r="A205" s="12"/>
      <c r="B205" s="12"/>
      <c r="C205" s="12"/>
      <c r="D205" s="12"/>
    </row>
    <row r="206" ht="15.75" customHeight="1">
      <c r="A206" s="12"/>
      <c r="B206" s="12"/>
      <c r="C206" s="12"/>
      <c r="D206" s="12"/>
    </row>
    <row r="207" ht="15.75" customHeight="1">
      <c r="A207" s="12"/>
      <c r="B207" s="12"/>
      <c r="C207" s="12"/>
      <c r="D207" s="12"/>
    </row>
    <row r="208" ht="15.75" customHeight="1">
      <c r="A208" s="12"/>
      <c r="B208" s="12"/>
      <c r="C208" s="12"/>
      <c r="D208" s="12"/>
    </row>
    <row r="209" ht="15.75" customHeight="1">
      <c r="A209" s="12"/>
      <c r="B209" s="12"/>
      <c r="C209" s="12"/>
      <c r="D209" s="12"/>
    </row>
    <row r="210" ht="15.75" customHeight="1">
      <c r="A210" s="12"/>
      <c r="B210" s="12"/>
      <c r="C210" s="12"/>
      <c r="D210" s="12"/>
    </row>
    <row r="211" ht="15.75" customHeight="1">
      <c r="A211" s="12"/>
      <c r="B211" s="12"/>
      <c r="C211" s="12"/>
      <c r="D211" s="12"/>
    </row>
    <row r="212" ht="15.75" customHeight="1">
      <c r="A212" s="12"/>
      <c r="B212" s="12"/>
      <c r="C212" s="12"/>
      <c r="D212" s="12"/>
    </row>
    <row r="213" ht="15.75" customHeight="1">
      <c r="A213" s="12"/>
      <c r="B213" s="12"/>
      <c r="C213" s="12"/>
      <c r="D213" s="12"/>
    </row>
    <row r="214" ht="15.75" customHeight="1">
      <c r="A214" s="12"/>
      <c r="B214" s="12"/>
      <c r="C214" s="12"/>
      <c r="D214" s="12"/>
    </row>
    <row r="215" ht="15.75" customHeight="1">
      <c r="A215" s="12"/>
      <c r="B215" s="12"/>
      <c r="C215" s="12"/>
      <c r="D215" s="12"/>
    </row>
    <row r="216" ht="15.75" customHeight="1">
      <c r="A216" s="12"/>
      <c r="B216" s="12"/>
      <c r="C216" s="12"/>
      <c r="D216" s="12"/>
    </row>
    <row r="217" ht="15.75" customHeight="1">
      <c r="A217" s="12"/>
      <c r="B217" s="12"/>
      <c r="C217" s="12"/>
      <c r="D217" s="12"/>
    </row>
    <row r="218" ht="15.75" customHeight="1">
      <c r="A218" s="12"/>
      <c r="B218" s="12"/>
      <c r="C218" s="12"/>
      <c r="D218" s="12"/>
    </row>
    <row r="219" ht="15.75" customHeight="1">
      <c r="A219" s="12"/>
      <c r="B219" s="12"/>
      <c r="C219" s="12"/>
      <c r="D219" s="12"/>
    </row>
    <row r="220" ht="15.75" customHeight="1">
      <c r="A220" s="12"/>
      <c r="B220" s="12"/>
      <c r="C220" s="12"/>
      <c r="D220" s="1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24.0"/>
    <col customWidth="1" min="3" max="3" width="8.63"/>
    <col customWidth="1" min="4" max="4" width="24.0"/>
    <col customWidth="1" min="5" max="5" width="60.0"/>
    <col customWidth="1" min="6" max="26" width="8.63"/>
  </cols>
  <sheetData>
    <row r="1" ht="27.75" customHeight="1">
      <c r="A1" s="13" t="s">
        <v>182</v>
      </c>
    </row>
    <row r="2">
      <c r="A2" s="12"/>
      <c r="B2" s="12"/>
      <c r="C2" s="12"/>
      <c r="D2" s="12"/>
      <c r="E2" s="12"/>
    </row>
    <row r="3" ht="30.0" customHeight="1">
      <c r="A3" s="14" t="s">
        <v>183</v>
      </c>
      <c r="B3" s="14" t="s">
        <v>184</v>
      </c>
      <c r="C3" s="12"/>
      <c r="D3" s="14" t="s">
        <v>185</v>
      </c>
      <c r="E3" s="14" t="s">
        <v>186</v>
      </c>
    </row>
    <row r="4">
      <c r="A4" s="12" t="s">
        <v>187</v>
      </c>
      <c r="B4" s="12">
        <f>COUNTA(Reservas!A2:A1000)</f>
        <v>24</v>
      </c>
      <c r="C4" s="12"/>
      <c r="D4" s="12" t="s">
        <v>188</v>
      </c>
      <c r="E4" s="12" t="s">
        <v>189</v>
      </c>
    </row>
    <row r="5">
      <c r="A5" s="12" t="s">
        <v>190</v>
      </c>
      <c r="B5" s="12">
        <f>COUNTIF(Reservas!L2:L1000,"confirmada")</f>
        <v>14</v>
      </c>
      <c r="C5" s="12"/>
      <c r="D5" s="12" t="s">
        <v>191</v>
      </c>
      <c r="E5" s="12" t="s">
        <v>192</v>
      </c>
    </row>
    <row r="6">
      <c r="A6" s="12" t="s">
        <v>193</v>
      </c>
      <c r="B6" s="12">
        <f>COUNTIF(Reservas!L2:L1000,"pendiente")</f>
        <v>0</v>
      </c>
      <c r="C6" s="12"/>
      <c r="D6" s="12" t="s">
        <v>194</v>
      </c>
      <c r="E6" s="12" t="s">
        <v>195</v>
      </c>
    </row>
    <row r="7">
      <c r="A7" s="12" t="s">
        <v>196</v>
      </c>
      <c r="B7" s="12">
        <f>COUNTIF(Reservas!L2:L1000,"cancelada")</f>
        <v>5</v>
      </c>
      <c r="C7" s="12"/>
      <c r="D7" s="12" t="s">
        <v>197</v>
      </c>
      <c r="E7" s="12" t="s">
        <v>198</v>
      </c>
    </row>
    <row r="8">
      <c r="A8" s="12" t="s">
        <v>199</v>
      </c>
      <c r="B8" s="12">
        <f>COUNTIF(Reservas!L2:L1000,"solo_consulta")</f>
        <v>0</v>
      </c>
      <c r="C8" s="12"/>
      <c r="D8" s="12"/>
      <c r="E8" s="12"/>
    </row>
    <row r="9">
      <c r="A9" s="12" t="s">
        <v>200</v>
      </c>
      <c r="B9" s="15">
        <f>SUMIF(Reservas!L2:L1000,"confirmada",Reservas!M2:M1000)</f>
        <v>1430000</v>
      </c>
      <c r="C9" s="12"/>
      <c r="D9" s="12"/>
      <c r="E9" s="12"/>
    </row>
    <row r="10">
      <c r="A10" s="12"/>
      <c r="B10" s="12"/>
      <c r="C10" s="12"/>
      <c r="D10" s="12"/>
      <c r="E10" s="12"/>
    </row>
    <row r="11">
      <c r="A11" s="16" t="s">
        <v>201</v>
      </c>
      <c r="B11" s="16" t="s">
        <v>19</v>
      </c>
      <c r="C11" s="12"/>
      <c r="D11" s="12"/>
      <c r="E11" s="12"/>
    </row>
    <row r="12">
      <c r="A12" s="12"/>
      <c r="B12" s="12"/>
      <c r="C12" s="12"/>
      <c r="D12" s="12"/>
      <c r="E12" s="12"/>
    </row>
    <row r="13">
      <c r="A13" s="12"/>
      <c r="B13" s="12"/>
      <c r="C13" s="12"/>
      <c r="D13" s="12"/>
      <c r="E13" s="12"/>
    </row>
    <row r="14">
      <c r="A14" s="12"/>
      <c r="B14" s="12"/>
      <c r="C14" s="12"/>
      <c r="D14" s="12"/>
      <c r="E14" s="12"/>
    </row>
    <row r="15">
      <c r="A15" s="12"/>
      <c r="B15" s="12"/>
      <c r="C15" s="12"/>
      <c r="D15" s="12"/>
      <c r="E15" s="12"/>
    </row>
    <row r="16">
      <c r="A16" s="12"/>
      <c r="B16" s="12"/>
      <c r="C16" s="12"/>
      <c r="D16" s="12"/>
      <c r="E16" s="12"/>
    </row>
    <row r="17">
      <c r="A17" s="12"/>
      <c r="B17" s="12"/>
      <c r="C17" s="12"/>
      <c r="D17" s="12"/>
      <c r="E17" s="12"/>
    </row>
    <row r="18">
      <c r="A18" s="12"/>
      <c r="B18" s="12"/>
      <c r="C18" s="12"/>
      <c r="D18" s="12"/>
      <c r="E18" s="12"/>
    </row>
    <row r="19">
      <c r="A19" s="12"/>
      <c r="B19" s="12"/>
      <c r="C19" s="12"/>
      <c r="D19" s="12"/>
      <c r="E19" s="12"/>
    </row>
    <row r="20">
      <c r="A20" s="12"/>
      <c r="B20" s="12"/>
      <c r="C20" s="12"/>
      <c r="D20" s="12"/>
      <c r="E20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